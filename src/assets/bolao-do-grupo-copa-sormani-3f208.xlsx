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las.manoel\Documents\"/>
    </mc:Choice>
  </mc:AlternateContent>
  <xr:revisionPtr revIDLastSave="0" documentId="8_{10316027-D3D5-4F60-9B6A-F5DE7641A2BF}" xr6:coauthVersionLast="47" xr6:coauthVersionMax="47" xr10:uidLastSave="{00000000-0000-0000-0000-000000000000}"/>
  <bookViews>
    <workbookView xWindow="20370" yWindow="-120" windowWidth="20640" windowHeight="11160" xr2:uid="{24A7BAF4-38C6-4154-A821-521213786B51}"/>
  </bookViews>
  <sheets>
    <sheet name="Tabela" sheetId="6" r:id="rId1"/>
    <sheet name="Bruno" sheetId="2" r:id="rId2"/>
    <sheet name="Davi" sheetId="3" r:id="rId3"/>
    <sheet name="Douglas" sheetId="4" r:id="rId4"/>
    <sheet name="Gabriel" sheetId="5" r:id="rId5"/>
  </sheets>
  <definedNames>
    <definedName name="_xlcn.WorksheetConnection_BolãodoGrupo.xlsxBruno" hidden="1">Bruno[]</definedName>
    <definedName name="_xlcn.WorksheetConnection_BolãodoGrupo.xlsxDavi" hidden="1">Davi[]</definedName>
    <definedName name="_xlcn.WorksheetConnection_BolãodoGrupo.xlsxDouglas" hidden="1">Douglas[]</definedName>
    <definedName name="_xlcn.WorksheetConnection_BolãodoGrupo.xlsxGabriel" hidden="1">Gabriel[]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uno" name="Bruno" connection="WorksheetConnection_Bolão do Grupo.xlsx!Bruno"/>
          <x15:modelTable id="Davi" name="Davi" connection="WorksheetConnection_Bolão do Grupo.xlsx!Davi"/>
          <x15:modelTable id="Douglas" name="Douglas" connection="WorksheetConnection_Bolão do Grupo.xlsx!Douglas"/>
          <x15:modelTable id="Gabriel" name="Gabriel" connection="WorksheetConnection_Bolão do Grupo.xlsx!Gabri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3" i="3" l="1"/>
  <c r="B43" i="3"/>
  <c r="A42" i="3"/>
  <c r="B42" i="3"/>
  <c r="A41" i="3"/>
  <c r="B41" i="3"/>
  <c r="A40" i="3"/>
  <c r="B40" i="3"/>
  <c r="A39" i="3"/>
  <c r="B39" i="3"/>
  <c r="A38" i="3"/>
  <c r="B38" i="3"/>
  <c r="A43" i="4"/>
  <c r="B43" i="4"/>
  <c r="A42" i="4"/>
  <c r="B42" i="4"/>
  <c r="A41" i="4"/>
  <c r="B41" i="4"/>
  <c r="A40" i="4"/>
  <c r="B40" i="4"/>
  <c r="A39" i="4"/>
  <c r="B39" i="4"/>
  <c r="A38" i="4"/>
  <c r="B38" i="4"/>
  <c r="A43" i="5"/>
  <c r="B43" i="5"/>
  <c r="A42" i="5"/>
  <c r="B42" i="5"/>
  <c r="A41" i="5"/>
  <c r="B41" i="5"/>
  <c r="A40" i="5"/>
  <c r="B40" i="5"/>
  <c r="A39" i="5"/>
  <c r="B39" i="5"/>
  <c r="A38" i="5"/>
  <c r="B38" i="5"/>
  <c r="A37" i="3"/>
  <c r="B37" i="3"/>
  <c r="A36" i="3"/>
  <c r="B36" i="3"/>
  <c r="A35" i="3"/>
  <c r="B35" i="3"/>
  <c r="A34" i="3"/>
  <c r="B34" i="3"/>
  <c r="A37" i="4"/>
  <c r="B37" i="4"/>
  <c r="A36" i="4"/>
  <c r="B36" i="4"/>
  <c r="A35" i="4"/>
  <c r="B35" i="4"/>
  <c r="A34" i="4"/>
  <c r="B34" i="4"/>
  <c r="A37" i="5"/>
  <c r="B37" i="5"/>
  <c r="A36" i="5"/>
  <c r="B36" i="5"/>
  <c r="A35" i="5"/>
  <c r="B35" i="5"/>
  <c r="A34" i="5"/>
  <c r="B34" i="5"/>
  <c r="A33" i="3"/>
  <c r="B33" i="3"/>
  <c r="A32" i="3"/>
  <c r="B32" i="3"/>
  <c r="A31" i="3"/>
  <c r="B31" i="3"/>
  <c r="A30" i="3"/>
  <c r="B30" i="3"/>
  <c r="A33" i="4"/>
  <c r="B33" i="4"/>
  <c r="A32" i="4"/>
  <c r="B32" i="4"/>
  <c r="A31" i="4"/>
  <c r="B31" i="4"/>
  <c r="A30" i="4"/>
  <c r="B30" i="4"/>
  <c r="A33" i="5"/>
  <c r="B33" i="5"/>
  <c r="A32" i="5"/>
  <c r="B32" i="5"/>
  <c r="A31" i="5"/>
  <c r="B31" i="5"/>
  <c r="A30" i="5"/>
  <c r="B30" i="5"/>
  <c r="B20" i="3"/>
  <c r="A20" i="3"/>
  <c r="B21" i="3"/>
  <c r="A21" i="3"/>
  <c r="B22" i="3"/>
  <c r="A22" i="3"/>
  <c r="B23" i="3"/>
  <c r="A23" i="3"/>
  <c r="B24" i="3"/>
  <c r="A24" i="3"/>
  <c r="B25" i="3"/>
  <c r="A25" i="3"/>
  <c r="B26" i="3"/>
  <c r="A26" i="3"/>
  <c r="B27" i="3"/>
  <c r="A27" i="3"/>
  <c r="B28" i="3"/>
  <c r="A28" i="3"/>
  <c r="B29" i="3"/>
  <c r="A29" i="3"/>
  <c r="B18" i="4"/>
  <c r="A18" i="4"/>
  <c r="B19" i="4"/>
  <c r="A19" i="4"/>
  <c r="B20" i="4"/>
  <c r="A20" i="4"/>
  <c r="B21" i="4"/>
  <c r="A21" i="4"/>
  <c r="B22" i="4"/>
  <c r="A22" i="4"/>
  <c r="B23" i="4"/>
  <c r="A23" i="4"/>
  <c r="B24" i="4"/>
  <c r="A24" i="4"/>
  <c r="B25" i="4"/>
  <c r="A25" i="4"/>
  <c r="B26" i="4"/>
  <c r="A26" i="4"/>
  <c r="B27" i="4"/>
  <c r="A27" i="4"/>
  <c r="B20" i="5"/>
  <c r="A20" i="5"/>
  <c r="B21" i="5"/>
  <c r="A21" i="5"/>
  <c r="B22" i="5"/>
  <c r="A22" i="5"/>
  <c r="B23" i="5"/>
  <c r="A23" i="5"/>
  <c r="B24" i="5"/>
  <c r="A24" i="5"/>
  <c r="B25" i="5"/>
  <c r="A25" i="5"/>
  <c r="B26" i="5"/>
  <c r="A26" i="5"/>
  <c r="B27" i="5"/>
  <c r="A27" i="5"/>
  <c r="B28" i="5"/>
  <c r="A28" i="5"/>
  <c r="B29" i="5"/>
  <c r="A29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28" i="4"/>
  <c r="B28" i="4"/>
  <c r="A29" i="4"/>
  <c r="B29" i="4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9" i="3"/>
  <c r="B9" i="3"/>
  <c r="A8" i="3"/>
  <c r="B8" i="3"/>
  <c r="A7" i="3"/>
  <c r="B7" i="3"/>
  <c r="A6" i="3"/>
  <c r="B6" i="3"/>
  <c r="A5" i="5"/>
  <c r="B5" i="5"/>
  <c r="A4" i="5"/>
  <c r="B4" i="5"/>
  <c r="A3" i="5"/>
  <c r="B3" i="5"/>
  <c r="A2" i="5"/>
  <c r="A2" i="4"/>
  <c r="A3" i="4"/>
  <c r="A4" i="4"/>
  <c r="A5" i="4"/>
  <c r="A2" i="3"/>
  <c r="A3" i="3"/>
  <c r="A4" i="3"/>
  <c r="A5" i="3"/>
  <c r="B2" i="5"/>
  <c r="B2" i="4"/>
  <c r="B3" i="4"/>
  <c r="B4" i="4"/>
  <c r="B5" i="4"/>
  <c r="B2" i="3"/>
  <c r="B3" i="3"/>
  <c r="B4" i="3"/>
  <c r="B5" i="3"/>
  <c r="D44" i="5"/>
  <c r="C2" i="6" s="1"/>
  <c r="D44" i="4"/>
  <c r="C3" i="6"/>
  <c r="D44" i="3"/>
  <c r="C4" i="6"/>
  <c r="D44" i="2"/>
  <c r="C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Bolão do Grupo.xlsx!Bruno" type="102" refreshedVersion="8" minRefreshableVersion="5">
    <extLst>
      <ext xmlns:x15="http://schemas.microsoft.com/office/spreadsheetml/2010/11/main" uri="{DE250136-89BD-433C-8126-D09CA5730AF9}">
        <x15:connection id="Bruno" autoDelete="1">
          <x15:rangePr sourceName="_xlcn.WorksheetConnection_BolãodoGrupo.xlsxBruno"/>
        </x15:connection>
      </ext>
    </extLst>
  </connection>
  <connection id="3" xr16:uid="{00000000-0015-0000-FFFF-FFFF02000000}" name="WorksheetConnection_Bolão do Grupo.xlsx!Davi" type="102" refreshedVersion="8" minRefreshableVersion="5">
    <extLst>
      <ext xmlns:x15="http://schemas.microsoft.com/office/spreadsheetml/2010/11/main" uri="{DE250136-89BD-433C-8126-D09CA5730AF9}">
        <x15:connection id="Davi">
          <x15:rangePr sourceName="_xlcn.WorksheetConnection_BolãodoGrupo.xlsxDavi"/>
        </x15:connection>
      </ext>
    </extLst>
  </connection>
  <connection id="4" xr16:uid="{00000000-0015-0000-FFFF-FFFF03000000}" name="WorksheetConnection_Bolão do Grupo.xlsx!Douglas" type="102" refreshedVersion="8" minRefreshableVersion="5">
    <extLst>
      <ext xmlns:x15="http://schemas.microsoft.com/office/spreadsheetml/2010/11/main" uri="{DE250136-89BD-433C-8126-D09CA5730AF9}">
        <x15:connection id="Douglas">
          <x15:rangePr sourceName="_xlcn.WorksheetConnection_BolãodoGrupo.xlsxDouglas"/>
        </x15:connection>
      </ext>
    </extLst>
  </connection>
  <connection id="5" xr16:uid="{00000000-0015-0000-FFFF-FFFF04000000}" name="WorksheetConnection_Bolão do Grupo.xlsx!Gabriel" type="102" refreshedVersion="8" minRefreshableVersion="5">
    <extLst>
      <ext xmlns:x15="http://schemas.microsoft.com/office/spreadsheetml/2010/11/main" uri="{DE250136-89BD-433C-8126-D09CA5730AF9}">
        <x15:connection id="Gabriel">
          <x15:rangePr sourceName="_xlcn.WorksheetConnection_BolãodoGrupo.xlsxGabriel"/>
        </x15:connection>
      </ext>
    </extLst>
  </connection>
</connections>
</file>

<file path=xl/sharedStrings.xml><?xml version="1.0" encoding="utf-8"?>
<sst xmlns="http://schemas.openxmlformats.org/spreadsheetml/2006/main" count="457" uniqueCount="259">
  <si>
    <t>Placar Final</t>
  </si>
  <si>
    <t>-</t>
  </si>
  <si>
    <t>Pontuação Total</t>
  </si>
  <si>
    <t>Jogos</t>
  </si>
  <si>
    <t>Pontuação</t>
  </si>
  <si>
    <t>Detalhamento da Pontuação</t>
  </si>
  <si>
    <t>Palpites</t>
  </si>
  <si>
    <t>Participante</t>
  </si>
  <si>
    <t>Bruno</t>
  </si>
  <si>
    <t>Davi</t>
  </si>
  <si>
    <t>Douglas</t>
  </si>
  <si>
    <t>Gabriel</t>
  </si>
  <si>
    <t>Posição</t>
  </si>
  <si>
    <t>1º</t>
  </si>
  <si>
    <t>2º</t>
  </si>
  <si>
    <t>3º</t>
  </si>
  <si>
    <t>4º</t>
  </si>
  <si>
    <t>Última Atualização</t>
  </si>
  <si>
    <t>Independiente Medellín x Vasco</t>
  </si>
  <si>
    <t>Bolívar x Grêmio</t>
  </si>
  <si>
    <t>Sporting Cristal x Red Bull Bragantino</t>
  </si>
  <si>
    <t>Universidad Central x Santos</t>
  </si>
  <si>
    <t>Santos x Universidad Central</t>
  </si>
  <si>
    <t>Vasco x Independiente Medellín</t>
  </si>
  <si>
    <t>Red Bull Bragantino x Sporting Cristal</t>
  </si>
  <si>
    <t>Grêmio x Bolívar</t>
  </si>
  <si>
    <t>Fluminense x Independiente Rivadavia</t>
  </si>
  <si>
    <t>Palmeiras x Cerro Porteño</t>
  </si>
  <si>
    <t>Cruzeiro x Flamengo</t>
  </si>
  <si>
    <t>Rosario Central x Corinthians</t>
  </si>
  <si>
    <t>Mirassol x LDU</t>
  </si>
  <si>
    <t>Independiente Rivadavia x Fluminense</t>
  </si>
  <si>
    <t>Cerro Porteño x Palmeiras</t>
  </si>
  <si>
    <t>Corinthians x Rosario Central</t>
  </si>
  <si>
    <t>LDU x Mirassol</t>
  </si>
  <si>
    <t>Flamengo x Cruzeiro</t>
  </si>
  <si>
    <t>1x2 (Zapata; Barreal e Thaciano)</t>
  </si>
  <si>
    <t>0x0</t>
  </si>
  <si>
    <t>1x1 (Peraza; Miguelito)</t>
  </si>
  <si>
    <t>1x4 (Maicol Ruiz; Bontempo, Gabriel Menino, Thaciano e Rony)</t>
  </si>
  <si>
    <t>Vencedor, Metade do Placar e gol do Thaciano</t>
  </si>
  <si>
    <t>Metade do Placar</t>
  </si>
  <si>
    <t>1x0 (José Ortíz)</t>
  </si>
  <si>
    <t>2x1 (Barcos 2x; Pedro Henrique)</t>
  </si>
  <si>
    <t>2x1 (Yony González e Esneyder Mena; Cuiabano)</t>
  </si>
  <si>
    <t>1x2 (Yony González; Robert Renan e Adson)</t>
  </si>
  <si>
    <t>2x2 (John Montaño e Carlos Cuesta [contra]; Joaquín Varela [contra] e Spinelli)</t>
  </si>
  <si>
    <t>1x1 (Barcos; Isidro Pitta)</t>
  </si>
  <si>
    <t>3x2 (Ian Wisdom, Barcos e Rafael Lutiger; Gustavinho e Mosquera)</t>
  </si>
  <si>
    <t>1x1 (Barcos; Mosquera)</t>
  </si>
  <si>
    <t>Empate e Diferença de Gols</t>
  </si>
  <si>
    <t>1x3 (Pato Rodríguez; Tetê, Braithwaite e Pavón)</t>
  </si>
  <si>
    <t>2x0 (Cauteruccio e Echeverría)</t>
  </si>
  <si>
    <t>2x1 (Asprilla e Ervin Vaca; Braithwaite)</t>
  </si>
  <si>
    <t>3x1 (Cauteruccio e Asprilla 2x; Braithwaite)</t>
  </si>
  <si>
    <t>Gol do Tetê</t>
  </si>
  <si>
    <t>3x2 (Cauteruccio, Robson Matheus e Asprilla; Villasanti e Tetê)</t>
  </si>
  <si>
    <t>Vencedor, Metade do Placar e gols de Cauteruccio e Asprilla</t>
  </si>
  <si>
    <t>Vencedor e gol do Asprilla</t>
  </si>
  <si>
    <t>Vencedor e gol do Cauteruccio</t>
  </si>
  <si>
    <t>3x1 (Gabriel Barbosa, Escobar e Neymar; Zapata)</t>
  </si>
  <si>
    <t>4x2 (Miguelito, Gabriel Barbosa, Gabriel Menino e Rony; Samuel Sosa e Gonzalo Mottes)</t>
  </si>
  <si>
    <t>2x0 (Miguelito e Rollheiser)</t>
  </si>
  <si>
    <t>Vencedor, Diferença de Gols e gol do Miguelito</t>
  </si>
  <si>
    <t>Vencedor, Diferença de Gols e gol do Gabriel Barbosa</t>
  </si>
  <si>
    <t>2x0 (Gabriel Barbosa e Gabriel Menino)</t>
  </si>
  <si>
    <t>Vencedor, Diferença de Gols e gols de Gabriel Barbosa e Gabriel Menino</t>
  </si>
  <si>
    <t>2x0 (Robert Renan e Andrés Gómez)</t>
  </si>
  <si>
    <t>3x0 (Pitta, Eduardo Sasha e Gabriel)</t>
  </si>
  <si>
    <t>3x1 (Spinelli, Tchê Tchê e Lucas Piton; John Montaño)</t>
  </si>
  <si>
    <t>2x1 (Spinelli e Andrés Gómez; Jeison Medina)</t>
  </si>
  <si>
    <t>2x1 (Tchê Tchê e Andrés Gómez; Jeison Medina)</t>
  </si>
  <si>
    <t>1x0 (Thiago Mendes)</t>
  </si>
  <si>
    <t>1x0 (Pedro Henrique)</t>
  </si>
  <si>
    <t>Vencedor e Diferença de Gols</t>
  </si>
  <si>
    <t>2x1</t>
  </si>
  <si>
    <t>2x2, Red Bull Bragantino passa (Sasha e Juninho Capixaba; Barcos e Yotún)</t>
  </si>
  <si>
    <t>Vencedor</t>
  </si>
  <si>
    <t>Vencedor e Metade do Placar</t>
  </si>
  <si>
    <t>Santos x Macará</t>
  </si>
  <si>
    <t>Red Bull Bragantino x Atlético-MG</t>
  </si>
  <si>
    <t>Vasco x Olimpia</t>
  </si>
  <si>
    <t>Cienciano x Botafogo</t>
  </si>
  <si>
    <t>Macará x Santos</t>
  </si>
  <si>
    <t>Atlético-MG x Red Bull Bragantino</t>
  </si>
  <si>
    <t>Olimpia x Vasco</t>
  </si>
  <si>
    <t>Botafogo x Cienciano</t>
  </si>
  <si>
    <t>2x1 (Braithwaite e Nardoni; Asprilla)</t>
  </si>
  <si>
    <t>3x0 (Braithwaite, Dodi e Kannemann)</t>
  </si>
  <si>
    <t>2x0 (Braithwaite e Amuzu)</t>
  </si>
  <si>
    <t>2x1, Bolívar passa (Pavón e Braithwaite; Asprilla)</t>
  </si>
  <si>
    <t>Bolívar x São Paulo</t>
  </si>
  <si>
    <t>São Paulo x Bolívar</t>
  </si>
  <si>
    <t>0x1 (Asprilla)</t>
  </si>
  <si>
    <t>Metade do Placar e gol do Asprilla</t>
  </si>
  <si>
    <t>2x0 (Hulk e Castillo)</t>
  </si>
  <si>
    <t>2x1 (Hulk e Hércules; Arce)</t>
  </si>
  <si>
    <t>2x2 (Hulk e Thiago Silva; Arce e Salas)</t>
  </si>
  <si>
    <t>2x0 (Thiago Silva e Hércules)</t>
  </si>
  <si>
    <t>1x1 (Asprilla; Calleri)</t>
  </si>
  <si>
    <t>2x0 (Asprilla e Cauteruccio)</t>
  </si>
  <si>
    <t>3x1 (Asprilla, Cauteruccio e Arboleda [contra]; Luciano)</t>
  </si>
  <si>
    <t>1x1 (Asprilla; Luciano)</t>
  </si>
  <si>
    <t>1x1 (Carlos Melgar; Arboleda)</t>
  </si>
  <si>
    <t>Placar Exato</t>
  </si>
  <si>
    <t>2x0 (Flaco Lopez e Piquerez)</t>
  </si>
  <si>
    <t>1x1 (Sasha; Cuello)</t>
  </si>
  <si>
    <t>1x0 (Flaco Lopez)</t>
  </si>
  <si>
    <t>2x1 (Sasha e Lucas Barbosa; Bernard)</t>
  </si>
  <si>
    <t>2x1 (Flaco Lopez e Vitor Roque; Vegetti)</t>
  </si>
  <si>
    <t>1x1 (Flaco Lopez; Carlos Miguel [contra])</t>
  </si>
  <si>
    <t>Gol do Flaco Lopez</t>
  </si>
  <si>
    <t>0x1 (Cuello)</t>
  </si>
  <si>
    <t>Metade do Placar e gol do Cuello</t>
  </si>
  <si>
    <t>Metade do Placar e gol do Flaco Lopez</t>
  </si>
  <si>
    <t>1x1 (Arroyo; Lucas Paquetá)</t>
  </si>
  <si>
    <t>1x0 (Kaio Jorge)</t>
  </si>
  <si>
    <t>1x1 (Kaio Jorge; Bruno Henrique)</t>
  </si>
  <si>
    <t>1x0 (Fabricio Bruno)</t>
  </si>
  <si>
    <t>2x0 (Kaio Jorge e Fabricio Bruno)</t>
  </si>
  <si>
    <t>1x0 (Reinaldo)</t>
  </si>
  <si>
    <t>2x0 (Neymar e Rony)</t>
  </si>
  <si>
    <t>1x0 (Rojas)</t>
  </si>
  <si>
    <t>2x1 (Bruno Santos e Reinaldo; Corozo)</t>
  </si>
  <si>
    <t>2x1 (Neymar e Gabriel Barbosa; Miranda)</t>
  </si>
  <si>
    <t>1x1 (David; Braian Romero)</t>
  </si>
  <si>
    <t>1x1 (Reinaldo; Deyverson)</t>
  </si>
  <si>
    <t>2x0 (Neymar e Gabriel Barbosa)</t>
  </si>
  <si>
    <t>1x0 (Cuiabano)</t>
  </si>
  <si>
    <t>0x1 (Pedro Raul)</t>
  </si>
  <si>
    <t>1x1 (Hohberg; Danilo)</t>
  </si>
  <si>
    <t>1x0 (Alesson)</t>
  </si>
  <si>
    <t>3x0 (Neymar, Bontempo e Rony)</t>
  </si>
  <si>
    <t>3x0 (Di Maria, Copetti e Campaz)</t>
  </si>
  <si>
    <t>0x1 (Danilo)</t>
  </si>
  <si>
    <t>2x1 (Gabriel Barbosa e Willian Arão; Franco Posse)</t>
  </si>
  <si>
    <t>Placar Exato e gol do Gabriel Barbosa</t>
  </si>
  <si>
    <t>Vencedor, Metade do Placar e gol do Gabriel Barbosa</t>
  </si>
  <si>
    <t>1x1 (Eduardo; Michael Estrada)</t>
  </si>
  <si>
    <t>2x0 (Di Maria 2x)</t>
  </si>
  <si>
    <t>0x1 (Montoro)</t>
  </si>
  <si>
    <t>6x1 (Matias Succar 3x, Neri Bandiera 2x e Marcos Martinich; Matheus Martins)</t>
  </si>
  <si>
    <t>0x1 (Canobbio)</t>
  </si>
  <si>
    <t>0x0, Bolívar passa</t>
  </si>
  <si>
    <t>1(4)x(5)1 (Arce; Serna)</t>
  </si>
  <si>
    <t>2x1 (Arce e Salas; Ignacio)</t>
  </si>
  <si>
    <t>Metade do Placar e gol do Arce</t>
  </si>
  <si>
    <t>1x1, Fluminense passa (Arce; Hulk)</t>
  </si>
  <si>
    <t>Placar Exato, Fluminense nos pênaltis e gol do Arce</t>
  </si>
  <si>
    <t>2x1 (Luciano e Calleri; Asprilla)</t>
  </si>
  <si>
    <t>2x0 (Artur e Calleri)</t>
  </si>
  <si>
    <t>2x0 (Calleri e Luciano)</t>
  </si>
  <si>
    <t>3x1 (Luciano, Calleri e Sabino; Asprilla)</t>
  </si>
  <si>
    <t>Vencedor, Diferença de gols e gols de Luciano e Calleri</t>
  </si>
  <si>
    <t>Vencedor, Diferença de Gols e gol do Calleri</t>
  </si>
  <si>
    <t>Vencedor, Metade do Placar e gols de Luciano, Asprilla e Calleri</t>
  </si>
  <si>
    <t>0x2 (Vitor Roque 2x)</t>
  </si>
  <si>
    <t>1x2 (Vegetti; Arias e Murilo)</t>
  </si>
  <si>
    <t>1x1 (Victor Hugo; Pitta)</t>
  </si>
  <si>
    <t>2x1 (Cuello e Vitor Hugo; Vinicinho)</t>
  </si>
  <si>
    <t>2x2, Cerro Porteño passa (Morel e Aliseda; Flaco Lopez e Arias)</t>
  </si>
  <si>
    <t>1x1, Cruzeiro passa (Léo Ortiz; Gerson)</t>
  </si>
  <si>
    <t>0x1 (Kaio Jorge)</t>
  </si>
  <si>
    <t>0x1 (Gustavo Gomez)</t>
  </si>
  <si>
    <t>1x0 (Pedro)</t>
  </si>
  <si>
    <t>2x2 (Maycon e Cuello; Eric Ramires e Sasha)</t>
  </si>
  <si>
    <t>Empate</t>
  </si>
  <si>
    <t>2x1 (Arrascaeta e Samuel Lino; Lucas Romero)</t>
  </si>
  <si>
    <t>1x2 (Samuel Lino; Kaio Jorge e Arroyo)</t>
  </si>
  <si>
    <t>Gol do Samuel Lino</t>
  </si>
  <si>
    <t>2x0 (Adé e Estrada)</t>
  </si>
  <si>
    <t>1x1 (Campana; Neymar)</t>
  </si>
  <si>
    <t>1x0 (Braian Romero)</t>
  </si>
  <si>
    <t>2x0 (Estrada e Corozo)</t>
  </si>
  <si>
    <t>1x0, Macará passa (Franco Posse)</t>
  </si>
  <si>
    <t>2x1 (Eduardo Delmás e Braian Romero; Adson)</t>
  </si>
  <si>
    <t>2x1 (Estrada e Corozo; Shaylon)</t>
  </si>
  <si>
    <t>1x1 (Franco Posse; Willian Arão)</t>
  </si>
  <si>
    <t>2x1 (Ruddy Mina e Corozo; André Luis)</t>
  </si>
  <si>
    <t>1x1 (Campana; Rony)</t>
  </si>
  <si>
    <t>2x1 (Eduardo Delmás e Braian Romero; Andrés Gómez)</t>
  </si>
  <si>
    <t>0x1 (Di Maria)</t>
  </si>
  <si>
    <t>3x0 (Danilo, Arthur Cabral e Montoro)</t>
  </si>
  <si>
    <t>2x0 (Pedro Raul e Memphis Depay)</t>
  </si>
  <si>
    <t>5x0, Botafogo passa (Arthur Cabral 2x, Danilo, Alex Telles e Danilo Pereira)</t>
  </si>
  <si>
    <t>2x1 (Breno Bidon e Gustavo Henrique; Copetti)</t>
  </si>
  <si>
    <t>1x4 (Esteban Matus; Thiago Mendes, David, Adson e Spinelli)</t>
  </si>
  <si>
    <t>Gol do Adson</t>
  </si>
  <si>
    <t>0(5)x(4)0</t>
  </si>
  <si>
    <t>4x1 (Arthur Cabral, Montoro, Danilo e Alex Telles; Garces)</t>
  </si>
  <si>
    <t>1x2 (Pedro Raul; Di Maria e Ibarra)</t>
  </si>
  <si>
    <t>2x1 (Arthur Cabral e Danilo; Romagnoli)</t>
  </si>
  <si>
    <t>1x0 (Danilo Pereira)</t>
  </si>
  <si>
    <t>1x0 (Breno Bidon)</t>
  </si>
  <si>
    <t>Vencedor, Diferença de Gols e gol do Breno Bidon</t>
  </si>
  <si>
    <t>Vencedor, Metade do Placar e gol do Danilo Pereira</t>
  </si>
  <si>
    <t>Fluminense x Platense</t>
  </si>
  <si>
    <t>Palmeiras x LDU</t>
  </si>
  <si>
    <t>Estudiantes x Corinthians</t>
  </si>
  <si>
    <t>Independiente del Valle x Flamengo</t>
  </si>
  <si>
    <t>Platense x Fluminense</t>
  </si>
  <si>
    <t>LDU x Palmeiras</t>
  </si>
  <si>
    <t>Corinthians x Estudiantes</t>
  </si>
  <si>
    <t>Flamengo x Independiente del Valle</t>
  </si>
  <si>
    <t>Independiente Santa Fe x Vasco</t>
  </si>
  <si>
    <t>Boca Juniors x São Paulo</t>
  </si>
  <si>
    <t>Santos x Atlético-MG</t>
  </si>
  <si>
    <t>Vasco x Independiente Santa Fe</t>
  </si>
  <si>
    <t>São Paulo x Boca Juniors</t>
  </si>
  <si>
    <t>Atlético-MG x Santos</t>
  </si>
  <si>
    <t>1x1</t>
  </si>
  <si>
    <t>2x0 (Serna e Martinelli)</t>
  </si>
  <si>
    <t>3x0 (Zenon, Merentiel e Ander Herrera)</t>
  </si>
  <si>
    <t>1x0 (Thiago Silva)</t>
  </si>
  <si>
    <t>0x1 (Puma Rodriguez)</t>
  </si>
  <si>
    <t>1x0 (Hulk)</t>
  </si>
  <si>
    <t>1x1 (Franco Fagúndez; Rojas)</t>
  </si>
  <si>
    <t>2x0 (Nonato e Hulk)</t>
  </si>
  <si>
    <t>Vencedor, Metade do Placar e gol do Hulk</t>
  </si>
  <si>
    <t>2x1 (Merentiel e Ángel Romero; Sabino)</t>
  </si>
  <si>
    <t>1x0 (Merentiel)</t>
  </si>
  <si>
    <t>1x1 (Merentiel; Calleri)</t>
  </si>
  <si>
    <t>Metade do Placar e gol do Merentiel</t>
  </si>
  <si>
    <t>Vencedor, Metade do Placar e gol do Merentiel</t>
  </si>
  <si>
    <t>Vencedor, Diferença de Gols e gol do Merentiel</t>
  </si>
  <si>
    <t>3x1 (Flaco Lopez, Gustavo Gomez e Mauricio; Deyverson)</t>
  </si>
  <si>
    <t>1x1 (Neymar; Vitor Hugo)</t>
  </si>
  <si>
    <t>0x1 (Gustavo Henrique)</t>
  </si>
  <si>
    <t>1x0 (Arias)</t>
  </si>
  <si>
    <t>1x0 (Neymar)</t>
  </si>
  <si>
    <t>2x0 (Gustavo Henrique [contra] e Joaquin Correa)</t>
  </si>
  <si>
    <t>2x0 (Arias e Flaco Lopez)</t>
  </si>
  <si>
    <t>2x1 (Gabriel Barbosa e Gabriel Bontempo; Fred)</t>
  </si>
  <si>
    <t>1x0 (Giay)</t>
  </si>
  <si>
    <t>2x0 (Willian Arão e Oliva)</t>
  </si>
  <si>
    <t>1x0 (Joaquin Correa)</t>
  </si>
  <si>
    <t>1x1 (Alexis Castro; Kaio César)</t>
  </si>
  <si>
    <t>2x1 (Djorkaeff Reasco 2x; Pedro)</t>
  </si>
  <si>
    <t>0x2 (Bruno Henrique e Léo Pereira)</t>
  </si>
  <si>
    <t>2x0 (Carlos Gonzalez e Mateo Carabajal)</t>
  </si>
  <si>
    <t>2x3 (Carlos Gonzalez e Sornoza; Pedro, Samuel Lino e Carrascal)</t>
  </si>
  <si>
    <t>21h30</t>
  </si>
  <si>
    <t>Amanhã - 21h30</t>
  </si>
  <si>
    <t>1x0 (Mateo Mendia)</t>
  </si>
  <si>
    <t>2x0 (Andrés Gómez e David)</t>
  </si>
  <si>
    <t>1x2 (Zapiola; Thiago Silva e Hulk)</t>
  </si>
  <si>
    <t>3x1 (Adson, Bruno Duarte e Puma Rodriguez; Rodallega)</t>
  </si>
  <si>
    <t>1x1 (Guido Mainero; Hulk)</t>
  </si>
  <si>
    <t>1x0 (Hinestroza)</t>
  </si>
  <si>
    <t>2x1 (Guido Mainero e Bruno Sepulveda; Canobbio)</t>
  </si>
  <si>
    <t>2x0 (Bruno Duarte e David)</t>
  </si>
  <si>
    <t>Metade do Placar e gol do Guido Mainero</t>
  </si>
  <si>
    <t>Placar Exato e gol do David</t>
  </si>
  <si>
    <t>Vencedor, Diferença de Gols e gol do Bruno Duarte</t>
  </si>
  <si>
    <t>2x0 (Luciano e Marcos Antônio)</t>
  </si>
  <si>
    <t>1x1 (Domingos Duarte; Leandro Lozano)</t>
  </si>
  <si>
    <t>19h00</t>
  </si>
  <si>
    <t>2x1, Boca Juniors passa (Luciano e Arboleda; Ángel Romero)</t>
  </si>
  <si>
    <t>07h04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</si>
</sst>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entury Gothic"/>
      <family val="2"/>
    </font>
    <font>
      <sz val="8"/>
      <color theme="1" tint="4.9989318521683403E-2"/>
      <name val="Century Gothic"/>
      <family val="2"/>
    </font>
    <font>
      <sz val="8"/>
      <name val="Century Gothic"/>
      <family val="2"/>
    </font>
    <font>
      <b/>
      <sz val="14"/>
      <color theme="0"/>
      <name val="Century Gothic"/>
      <family val="2"/>
    </font>
    <font>
      <b/>
      <sz val="14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/>
    <xf numFmtId="0" fontId="4" fillId="0" borderId="0" xfId="0" applyFont="1"/>
    <xf numFmtId="0" fontId="3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6" borderId="0" xfId="0" applyFill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80481C-AFBC-483D-B6BC-4E675DD4B086}" name="Tabela5" displayName="Tabela5" ref="B1:C5" totalsRowShown="0" headerRowDxfId="13" dataDxfId="12">
  <autoFilter ref="B1:C5" xr:uid="{4080481C-AFBC-483D-B6BC-4E675DD4B086}"/>
  <sortState xmlns:xlrd2="http://schemas.microsoft.com/office/spreadsheetml/2017/richdata2" ref="B2:C5">
    <sortCondition descending="1" ref="C1:C5"/>
  </sortState>
  <tableColumns count="2">
    <tableColumn id="1" xr3:uid="{907C4D55-FC92-4991-8DB1-38FC3B2CB1CC}" name="Participante" dataDxfId="11"/>
    <tableColumn id="2" xr3:uid="{9AB59FB6-ED8D-44C5-A286-8429AA20B316}" name="Pontuação Total" dataDxfId="1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BAD58-B8FB-4E07-8496-D3CDCAF2946C}" name="Bruno" displayName="Bruno" ref="A1:E44" totalsRowCount="1">
  <autoFilter ref="A1:E43" xr:uid="{EA786FA1-AC7A-411B-AA92-99992422E6A0}"/>
  <tableColumns count="5">
    <tableColumn id="1" xr3:uid="{C71385D7-2558-4DA8-B112-3C55DEAAE259}" name="Jogos" totalsRowLabel="Pontuação Total"/>
    <tableColumn id="2" xr3:uid="{3D9EB129-80D6-48B0-9E37-B03BFF05AD57}" name="Placar Final"/>
    <tableColumn id="3" xr3:uid="{C1BDF125-06C3-414F-966F-535C528F27E2}" name="Palpites"/>
    <tableColumn id="4" xr3:uid="{372940E3-AB75-4CF3-A36B-1A1980AB5CE3}" name="Pontuação" totalsRowFunction="sum"/>
    <tableColumn id="5" xr3:uid="{43296C7A-D5F6-4F41-B5C4-7FD96E7AF479}" name="Detalhamento da Pontuação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0010C-3FEC-4721-A2F1-2B1262C27733}" name="Davi" displayName="Davi" ref="A1:E44" totalsRowCount="1">
  <autoFilter ref="A1:E43" xr:uid="{EA786FA1-AC7A-411B-AA92-99992422E6A0}"/>
  <tableColumns count="5">
    <tableColumn id="1" xr3:uid="{058B45F7-561A-44D1-B2B5-3A32E5B9B38A}" name="Jogos" totalsRowLabel="Pontuação Total" dataDxfId="8">
      <calculatedColumnFormula>Bruno[[#This Row],[Jogos]]</calculatedColumnFormula>
    </tableColumn>
    <tableColumn id="2" xr3:uid="{3F7FB2C7-C241-44AB-BD52-34D952499DC8}" name="Placar Final" dataDxfId="7">
      <calculatedColumnFormula>Bruno[[#This Row],[Placar Final]]</calculatedColumnFormula>
    </tableColumn>
    <tableColumn id="7" xr3:uid="{B95D9D7E-0C40-4A23-BDD6-A3DF8D711616}" name="Palpites"/>
    <tableColumn id="8" xr3:uid="{E72B1DD3-CA7C-4977-B134-B290B11AE3D1}" name="Pontuação" totalsRowFunction="sum"/>
    <tableColumn id="9" xr3:uid="{88CC5557-389F-4A4B-AFA2-170C0C0B501B}" name="Detalhamento da Pontuação" dataDxfId="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27FC1-34CC-42E0-ACD0-D43C7665893E}" name="Douglas" displayName="Douglas" ref="A1:E44" totalsRowCount="1">
  <autoFilter ref="A1:E43" xr:uid="{EA786FA1-AC7A-411B-AA92-99992422E6A0}"/>
  <tableColumns count="5">
    <tableColumn id="1" xr3:uid="{36A94A93-467B-45F2-8D9F-62F1238767C5}" name="Jogos" totalsRowLabel="Pontuação Total" dataDxfId="5">
      <calculatedColumnFormula>Bruno[[#This Row],[Jogos]]</calculatedColumnFormula>
    </tableColumn>
    <tableColumn id="2" xr3:uid="{2CD111D4-A36D-4A28-83C8-E823A8E88E68}" name="Placar Final" dataDxfId="4">
      <calculatedColumnFormula>Bruno[[#This Row],[Placar Final]]</calculatedColumnFormula>
    </tableColumn>
    <tableColumn id="10" xr3:uid="{B065E949-2D22-4BA5-8440-76938E6451D1}" name="Palpites"/>
    <tableColumn id="11" xr3:uid="{7488D55C-ED90-4E91-8BC5-919CA2474D14}" name="Pontuação" totalsRowFunction="sum"/>
    <tableColumn id="12" xr3:uid="{9A8239CB-A969-4B85-9880-37428C3778B3}" name="Detalhamento da Pontuação" dataDxfId="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D59292-5B6E-43A1-89EC-D622E650A732}" name="Gabriel" displayName="Gabriel" ref="A1:E44" totalsRowCount="1">
  <autoFilter ref="A1:E43" xr:uid="{EA786FA1-AC7A-411B-AA92-99992422E6A0}"/>
  <tableColumns count="5">
    <tableColumn id="1" xr3:uid="{BB8600F3-C3B0-480D-957C-847F645EACD5}" name="Jogos" totalsRowLabel="Pontuação Total" dataDxfId="2">
      <calculatedColumnFormula>Bruno[[#This Row],[Jogos]]</calculatedColumnFormula>
    </tableColumn>
    <tableColumn id="2" xr3:uid="{0EBADCC4-C56E-4F68-AC85-CCA4B5FE2AA5}" name="Placar Final" dataDxfId="1">
      <calculatedColumnFormula>Bruno[[#This Row],[Placar Final]]</calculatedColumnFormula>
    </tableColumn>
    <tableColumn id="13" xr3:uid="{635008A9-70F0-45C9-9E8F-2B6EDF0E677A}" name="Palpites"/>
    <tableColumn id="14" xr3:uid="{529292F2-CDB9-4207-8EBB-255822B4B6CA}" name="Pontuação" totalsRowFunction="sum"/>
    <tableColumn id="15" xr3:uid="{B6AC962F-7D71-4786-AAB6-BF0CD0CF5CC2}" name="Detalhamento da Pontuaçã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4306-76C2-4B1D-9DC9-5B50BD0AB05F}">
  <dimension ref="A1:C10"/>
  <sheetViews>
    <sheetView tabSelected="1" workbookViewId="0">
      <selection activeCell="A13" sqref="A13"/>
    </sheetView>
  </sheetViews>
  <sheetFormatPr defaultColWidth="9.1640625" defaultRowHeight="18" x14ac:dyDescent="0.25"/>
  <cols>
    <col min="1" max="1" width="14.33203125" style="3" bestFit="1" customWidth="1"/>
    <col min="2" max="2" width="23.33203125" style="3" bestFit="1" customWidth="1"/>
    <col min="3" max="3" width="30.5" style="3" bestFit="1" customWidth="1"/>
    <col min="4" max="16384" width="9.1640625" style="3"/>
  </cols>
  <sheetData>
    <row r="1" spans="1:3" x14ac:dyDescent="0.25">
      <c r="A1" s="4" t="s">
        <v>12</v>
      </c>
      <c r="B1" s="3" t="s">
        <v>7</v>
      </c>
      <c r="C1" s="3" t="s">
        <v>2</v>
      </c>
    </row>
    <row r="2" spans="1:3" x14ac:dyDescent="0.25">
      <c r="A2" s="5" t="s">
        <v>13</v>
      </c>
      <c r="B2" s="3" t="s">
        <v>11</v>
      </c>
      <c r="C2" s="3">
        <f>Gabriel[[#Totals],[Pontuação]]</f>
        <v>92</v>
      </c>
    </row>
    <row r="3" spans="1:3" x14ac:dyDescent="0.25">
      <c r="A3" s="6" t="s">
        <v>14</v>
      </c>
      <c r="B3" s="3" t="s">
        <v>10</v>
      </c>
      <c r="C3" s="3">
        <f>Douglas[[#Totals],[Pontuação]]</f>
        <v>88</v>
      </c>
    </row>
    <row r="4" spans="1:3" x14ac:dyDescent="0.25">
      <c r="A4" s="5" t="s">
        <v>15</v>
      </c>
      <c r="B4" s="3" t="s">
        <v>9</v>
      </c>
      <c r="C4" s="3">
        <f>Davi[[#Totals],[Pontuação]]</f>
        <v>81</v>
      </c>
    </row>
    <row r="5" spans="1:3" x14ac:dyDescent="0.25">
      <c r="A5" s="6" t="s">
        <v>16</v>
      </c>
      <c r="B5" s="3" t="s">
        <v>8</v>
      </c>
      <c r="C5" s="3">
        <f>Bruno[[#Totals],[Pontuação]]</f>
        <v>55</v>
      </c>
    </row>
    <row r="9" spans="1:3" x14ac:dyDescent="0.25">
      <c r="A9" s="10" t="s">
        <v>17</v>
      </c>
      <c r="B9" s="10"/>
      <c r="C9" s="8">
        <v>46281</v>
      </c>
    </row>
    <row r="10" spans="1:3" x14ac:dyDescent="0.25">
      <c r="A10" s="10"/>
      <c r="B10" s="10"/>
      <c r="C10" s="7" t="s">
        <v>258</v>
      </c>
    </row>
  </sheetData>
  <mergeCells count="1">
    <mergeCell ref="A9:B10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1841-039A-4C51-AF05-A922A9D7DC21}">
  <dimension ref="A1:E44"/>
  <sheetViews>
    <sheetView workbookViewId="0">
      <pane ySplit="1" topLeftCell="A24" activePane="bottomLeft" state="frozen"/>
      <selection pane="bottomLeft" activeCell="A46" sqref="A46"/>
    </sheetView>
  </sheetViews>
  <sheetFormatPr defaultColWidth="12.33203125" defaultRowHeight="13.5" x14ac:dyDescent="0.3"/>
  <cols>
    <col min="1" max="1" width="37.6640625" bestFit="1" customWidth="1"/>
    <col min="2" max="2" width="84.1640625" bestFit="1" customWidth="1"/>
    <col min="3" max="3" width="53.1640625" bestFit="1" customWidth="1"/>
    <col min="4" max="4" width="13.83203125" bestFit="1" customWidth="1"/>
    <col min="5" max="5" width="60" bestFit="1" customWidth="1"/>
  </cols>
  <sheetData>
    <row r="1" spans="1:5" x14ac:dyDescent="0.3">
      <c r="A1" s="2" t="s">
        <v>3</v>
      </c>
      <c r="B1" s="1" t="s">
        <v>0</v>
      </c>
      <c r="C1" t="s">
        <v>6</v>
      </c>
      <c r="D1" t="s">
        <v>4</v>
      </c>
      <c r="E1" t="s">
        <v>5</v>
      </c>
    </row>
    <row r="2" spans="1:5" x14ac:dyDescent="0.3">
      <c r="A2" t="s">
        <v>21</v>
      </c>
      <c r="B2" t="s">
        <v>39</v>
      </c>
      <c r="C2" t="s">
        <v>1</v>
      </c>
      <c r="D2">
        <v>0</v>
      </c>
      <c r="E2" t="s">
        <v>1</v>
      </c>
    </row>
    <row r="3" spans="1:5" x14ac:dyDescent="0.3">
      <c r="A3" t="s">
        <v>18</v>
      </c>
      <c r="B3" t="s">
        <v>46</v>
      </c>
      <c r="C3" t="s">
        <v>1</v>
      </c>
      <c r="D3">
        <v>0</v>
      </c>
      <c r="E3" t="s">
        <v>1</v>
      </c>
    </row>
    <row r="4" spans="1:5" x14ac:dyDescent="0.3">
      <c r="A4" t="s">
        <v>20</v>
      </c>
      <c r="B4" t="s">
        <v>37</v>
      </c>
      <c r="C4" t="s">
        <v>49</v>
      </c>
      <c r="D4">
        <v>3</v>
      </c>
      <c r="E4" t="s">
        <v>50</v>
      </c>
    </row>
    <row r="5" spans="1:5" x14ac:dyDescent="0.3">
      <c r="A5" t="s">
        <v>19</v>
      </c>
      <c r="B5" t="s">
        <v>56</v>
      </c>
      <c r="C5" t="s">
        <v>54</v>
      </c>
      <c r="D5">
        <v>5</v>
      </c>
      <c r="E5" t="s">
        <v>57</v>
      </c>
    </row>
    <row r="6" spans="1:5" x14ac:dyDescent="0.3">
      <c r="A6" t="s">
        <v>22</v>
      </c>
      <c r="B6" t="s">
        <v>61</v>
      </c>
      <c r="C6" t="s">
        <v>1</v>
      </c>
      <c r="D6">
        <v>0</v>
      </c>
      <c r="E6" t="s">
        <v>1</v>
      </c>
    </row>
    <row r="7" spans="1:5" x14ac:dyDescent="0.3">
      <c r="A7" t="s">
        <v>23</v>
      </c>
      <c r="B7" t="s">
        <v>72</v>
      </c>
      <c r="C7" t="s">
        <v>71</v>
      </c>
      <c r="D7">
        <v>3</v>
      </c>
      <c r="E7" t="s">
        <v>74</v>
      </c>
    </row>
    <row r="8" spans="1:5" x14ac:dyDescent="0.3">
      <c r="A8" t="s">
        <v>24</v>
      </c>
      <c r="B8" t="s">
        <v>73</v>
      </c>
      <c r="C8" t="s">
        <v>1</v>
      </c>
      <c r="D8">
        <v>0</v>
      </c>
      <c r="E8" t="s">
        <v>1</v>
      </c>
    </row>
    <row r="9" spans="1:5" x14ac:dyDescent="0.3">
      <c r="A9" t="s">
        <v>25</v>
      </c>
      <c r="B9" t="s">
        <v>93</v>
      </c>
      <c r="C9" t="s">
        <v>87</v>
      </c>
      <c r="D9">
        <v>2</v>
      </c>
      <c r="E9" t="s">
        <v>94</v>
      </c>
    </row>
    <row r="10" spans="1:5" x14ac:dyDescent="0.3">
      <c r="A10" t="s">
        <v>26</v>
      </c>
      <c r="B10" t="s">
        <v>37</v>
      </c>
      <c r="C10" t="s">
        <v>95</v>
      </c>
      <c r="D10">
        <v>1</v>
      </c>
      <c r="E10" t="s">
        <v>41</v>
      </c>
    </row>
    <row r="11" spans="1:5" x14ac:dyDescent="0.3">
      <c r="A11" t="s">
        <v>91</v>
      </c>
      <c r="B11" t="s">
        <v>103</v>
      </c>
      <c r="C11" s="9" t="s">
        <v>102</v>
      </c>
      <c r="D11">
        <v>8</v>
      </c>
      <c r="E11" t="s">
        <v>104</v>
      </c>
    </row>
    <row r="12" spans="1:5" x14ac:dyDescent="0.3">
      <c r="A12" t="s">
        <v>27</v>
      </c>
      <c r="B12" t="s">
        <v>110</v>
      </c>
      <c r="C12" t="s">
        <v>105</v>
      </c>
      <c r="D12">
        <v>1</v>
      </c>
      <c r="E12" t="s">
        <v>111</v>
      </c>
    </row>
    <row r="13" spans="1:5" x14ac:dyDescent="0.3">
      <c r="A13" t="s">
        <v>80</v>
      </c>
      <c r="B13" t="s">
        <v>112</v>
      </c>
      <c r="C13" t="s">
        <v>106</v>
      </c>
      <c r="D13">
        <v>2</v>
      </c>
      <c r="E13" t="s">
        <v>113</v>
      </c>
    </row>
    <row r="14" spans="1:5" x14ac:dyDescent="0.3">
      <c r="A14" t="s">
        <v>28</v>
      </c>
      <c r="B14" t="s">
        <v>115</v>
      </c>
      <c r="C14" t="s">
        <v>116</v>
      </c>
      <c r="D14">
        <v>1</v>
      </c>
      <c r="E14" t="s">
        <v>41</v>
      </c>
    </row>
    <row r="15" spans="1:5" x14ac:dyDescent="0.3">
      <c r="A15" t="s">
        <v>30</v>
      </c>
      <c r="B15" t="s">
        <v>138</v>
      </c>
      <c r="C15" t="s">
        <v>120</v>
      </c>
      <c r="D15">
        <v>1</v>
      </c>
      <c r="E15" t="s">
        <v>41</v>
      </c>
    </row>
    <row r="16" spans="1:5" x14ac:dyDescent="0.3">
      <c r="A16" t="s">
        <v>79</v>
      </c>
      <c r="B16" t="s">
        <v>135</v>
      </c>
      <c r="C16" t="s">
        <v>121</v>
      </c>
      <c r="D16">
        <v>3</v>
      </c>
      <c r="E16" t="s">
        <v>78</v>
      </c>
    </row>
    <row r="17" spans="1:5" x14ac:dyDescent="0.3">
      <c r="A17" t="s">
        <v>81</v>
      </c>
      <c r="B17" t="s">
        <v>37</v>
      </c>
      <c r="C17" t="s">
        <v>122</v>
      </c>
      <c r="D17">
        <v>1</v>
      </c>
      <c r="E17" t="s">
        <v>41</v>
      </c>
    </row>
    <row r="18" spans="1:5" x14ac:dyDescent="0.3">
      <c r="A18" t="s">
        <v>29</v>
      </c>
      <c r="B18" t="s">
        <v>37</v>
      </c>
      <c r="C18" t="s">
        <v>139</v>
      </c>
      <c r="D18">
        <v>1</v>
      </c>
      <c r="E18" t="s">
        <v>41</v>
      </c>
    </row>
    <row r="19" spans="1:5" x14ac:dyDescent="0.3">
      <c r="A19" t="s">
        <v>82</v>
      </c>
      <c r="B19" t="s">
        <v>141</v>
      </c>
      <c r="C19" t="s">
        <v>140</v>
      </c>
      <c r="D19">
        <v>1</v>
      </c>
      <c r="E19" t="s">
        <v>41</v>
      </c>
    </row>
    <row r="20" spans="1:5" x14ac:dyDescent="0.3">
      <c r="A20" t="s">
        <v>31</v>
      </c>
      <c r="B20" t="s">
        <v>144</v>
      </c>
      <c r="C20" t="s">
        <v>1</v>
      </c>
      <c r="D20">
        <v>0</v>
      </c>
      <c r="E20" t="s">
        <v>1</v>
      </c>
    </row>
    <row r="21" spans="1:5" x14ac:dyDescent="0.3">
      <c r="A21" t="s">
        <v>92</v>
      </c>
      <c r="B21" t="s">
        <v>152</v>
      </c>
      <c r="C21" t="s">
        <v>151</v>
      </c>
      <c r="D21">
        <v>5</v>
      </c>
      <c r="E21" t="s">
        <v>153</v>
      </c>
    </row>
    <row r="22" spans="1:5" x14ac:dyDescent="0.3">
      <c r="A22" t="s">
        <v>32</v>
      </c>
      <c r="B22" t="s">
        <v>163</v>
      </c>
      <c r="C22" t="s">
        <v>1</v>
      </c>
      <c r="D22">
        <v>0</v>
      </c>
      <c r="E22" t="s">
        <v>1</v>
      </c>
    </row>
    <row r="23" spans="1:5" x14ac:dyDescent="0.3">
      <c r="A23" t="s">
        <v>84</v>
      </c>
      <c r="B23" t="s">
        <v>165</v>
      </c>
      <c r="C23" t="s">
        <v>1</v>
      </c>
      <c r="D23">
        <v>0</v>
      </c>
      <c r="E23" t="s">
        <v>1</v>
      </c>
    </row>
    <row r="24" spans="1:5" x14ac:dyDescent="0.3">
      <c r="A24" t="s">
        <v>35</v>
      </c>
      <c r="B24" t="s">
        <v>167</v>
      </c>
      <c r="C24" t="s">
        <v>168</v>
      </c>
      <c r="D24">
        <v>1</v>
      </c>
      <c r="E24" t="s">
        <v>169</v>
      </c>
    </row>
    <row r="25" spans="1:5" x14ac:dyDescent="0.3">
      <c r="A25" t="s">
        <v>34</v>
      </c>
      <c r="B25" t="s">
        <v>188</v>
      </c>
      <c r="C25" t="s">
        <v>178</v>
      </c>
      <c r="D25">
        <v>0</v>
      </c>
      <c r="E25" t="s">
        <v>1</v>
      </c>
    </row>
    <row r="26" spans="1:5" x14ac:dyDescent="0.3">
      <c r="A26" t="s">
        <v>83</v>
      </c>
      <c r="B26" t="s">
        <v>37</v>
      </c>
      <c r="C26" t="s">
        <v>179</v>
      </c>
      <c r="D26">
        <v>3</v>
      </c>
      <c r="E26" t="s">
        <v>50</v>
      </c>
    </row>
    <row r="27" spans="1:5" x14ac:dyDescent="0.3">
      <c r="A27" t="s">
        <v>85</v>
      </c>
      <c r="B27" t="s">
        <v>186</v>
      </c>
      <c r="C27" t="s">
        <v>180</v>
      </c>
      <c r="D27">
        <v>0</v>
      </c>
      <c r="E27" t="s">
        <v>1</v>
      </c>
    </row>
    <row r="28" spans="1:5" x14ac:dyDescent="0.3">
      <c r="A28" t="s">
        <v>33</v>
      </c>
      <c r="B28" t="s">
        <v>193</v>
      </c>
      <c r="C28" t="s">
        <v>190</v>
      </c>
      <c r="D28">
        <v>1</v>
      </c>
      <c r="E28" t="s">
        <v>41</v>
      </c>
    </row>
    <row r="29" spans="1:5" x14ac:dyDescent="0.3">
      <c r="A29" t="s">
        <v>86</v>
      </c>
      <c r="B29" t="s">
        <v>192</v>
      </c>
      <c r="C29" t="s">
        <v>191</v>
      </c>
      <c r="D29">
        <v>3</v>
      </c>
      <c r="E29" t="s">
        <v>74</v>
      </c>
    </row>
    <row r="30" spans="1:5" x14ac:dyDescent="0.3">
      <c r="A30" t="s">
        <v>196</v>
      </c>
      <c r="B30" t="s">
        <v>217</v>
      </c>
      <c r="C30" t="s">
        <v>215</v>
      </c>
      <c r="D30">
        <v>4</v>
      </c>
      <c r="E30" t="s">
        <v>218</v>
      </c>
    </row>
    <row r="31" spans="1:5" x14ac:dyDescent="0.3">
      <c r="A31" t="s">
        <v>204</v>
      </c>
      <c r="B31" t="s">
        <v>37</v>
      </c>
      <c r="C31" t="s">
        <v>216</v>
      </c>
      <c r="D31">
        <v>3</v>
      </c>
      <c r="E31" t="s">
        <v>50</v>
      </c>
    </row>
    <row r="32" spans="1:5" x14ac:dyDescent="0.3">
      <c r="A32" t="s">
        <v>205</v>
      </c>
      <c r="B32" t="s">
        <v>220</v>
      </c>
      <c r="C32" t="s">
        <v>221</v>
      </c>
      <c r="D32">
        <v>2</v>
      </c>
      <c r="E32" t="s">
        <v>222</v>
      </c>
    </row>
    <row r="33" spans="1:5" x14ac:dyDescent="0.3">
      <c r="A33" t="s">
        <v>197</v>
      </c>
      <c r="B33" t="s">
        <v>233</v>
      </c>
      <c r="C33" t="s">
        <v>1</v>
      </c>
      <c r="D33">
        <v>0</v>
      </c>
      <c r="E33" t="s">
        <v>1</v>
      </c>
    </row>
    <row r="34" spans="1:5" x14ac:dyDescent="0.3">
      <c r="A34" t="s">
        <v>206</v>
      </c>
      <c r="B34" t="s">
        <v>234</v>
      </c>
      <c r="C34" t="s">
        <v>1</v>
      </c>
      <c r="D34">
        <v>0</v>
      </c>
      <c r="E34" t="s">
        <v>1</v>
      </c>
    </row>
    <row r="35" spans="1:5" x14ac:dyDescent="0.3">
      <c r="A35" t="s">
        <v>198</v>
      </c>
      <c r="B35" t="s">
        <v>236</v>
      </c>
      <c r="C35" t="s">
        <v>1</v>
      </c>
      <c r="D35">
        <v>0</v>
      </c>
      <c r="E35" t="s">
        <v>1</v>
      </c>
    </row>
    <row r="36" spans="1:5" x14ac:dyDescent="0.3">
      <c r="A36" t="s">
        <v>199</v>
      </c>
      <c r="B36" t="s">
        <v>238</v>
      </c>
      <c r="C36" t="s">
        <v>1</v>
      </c>
      <c r="D36">
        <v>0</v>
      </c>
      <c r="E36" t="s">
        <v>1</v>
      </c>
    </row>
    <row r="37" spans="1:5" x14ac:dyDescent="0.3">
      <c r="A37" t="s">
        <v>200</v>
      </c>
      <c r="B37" t="s">
        <v>249</v>
      </c>
      <c r="C37" t="s">
        <v>1</v>
      </c>
      <c r="D37">
        <v>0</v>
      </c>
      <c r="E37" t="s">
        <v>1</v>
      </c>
    </row>
    <row r="38" spans="1:5" x14ac:dyDescent="0.3">
      <c r="A38" t="s">
        <v>207</v>
      </c>
      <c r="B38" t="s">
        <v>250</v>
      </c>
      <c r="C38" t="s">
        <v>1</v>
      </c>
      <c r="D38">
        <v>0</v>
      </c>
      <c r="E38" t="s">
        <v>1</v>
      </c>
    </row>
    <row r="39" spans="1:5" x14ac:dyDescent="0.3">
      <c r="A39" t="s">
        <v>208</v>
      </c>
      <c r="B39" t="s">
        <v>255</v>
      </c>
      <c r="C39" t="s">
        <v>1</v>
      </c>
      <c r="D39">
        <v>0</v>
      </c>
      <c r="E39" t="s">
        <v>1</v>
      </c>
    </row>
    <row r="40" spans="1:5" x14ac:dyDescent="0.3">
      <c r="A40" t="s">
        <v>201</v>
      </c>
      <c r="B40" t="s">
        <v>256</v>
      </c>
      <c r="C40" t="s">
        <v>1</v>
      </c>
      <c r="D40">
        <v>0</v>
      </c>
      <c r="E40" t="s">
        <v>1</v>
      </c>
    </row>
    <row r="41" spans="1:5" x14ac:dyDescent="0.3">
      <c r="A41" t="s">
        <v>209</v>
      </c>
      <c r="B41" t="s">
        <v>256</v>
      </c>
      <c r="C41" t="s">
        <v>1</v>
      </c>
      <c r="D41">
        <v>0</v>
      </c>
      <c r="E41" t="s">
        <v>1</v>
      </c>
    </row>
    <row r="42" spans="1:5" x14ac:dyDescent="0.3">
      <c r="A42" t="s">
        <v>202</v>
      </c>
      <c r="B42" t="s">
        <v>241</v>
      </c>
      <c r="C42" t="s">
        <v>1</v>
      </c>
      <c r="D42">
        <v>0</v>
      </c>
      <c r="E42" t="s">
        <v>1</v>
      </c>
    </row>
    <row r="43" spans="1:5" x14ac:dyDescent="0.3">
      <c r="A43" t="s">
        <v>203</v>
      </c>
      <c r="B43" t="s">
        <v>242</v>
      </c>
      <c r="C43" t="s">
        <v>1</v>
      </c>
      <c r="D43">
        <v>0</v>
      </c>
      <c r="E43" t="s">
        <v>1</v>
      </c>
    </row>
    <row r="44" spans="1:5" x14ac:dyDescent="0.3">
      <c r="A44" t="s">
        <v>2</v>
      </c>
      <c r="D44">
        <f>SUBTOTAL(109,Bruno[Pontuação])</f>
        <v>55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3569-B33B-4725-B50F-0559FA6747EC}">
  <dimension ref="A1:E44"/>
  <sheetViews>
    <sheetView workbookViewId="0">
      <pane ySplit="1" topLeftCell="A24" activePane="bottomLeft" state="frozen"/>
      <selection activeCell="B1" sqref="B1"/>
      <selection pane="bottomLeft" activeCell="A46" sqref="A46"/>
    </sheetView>
  </sheetViews>
  <sheetFormatPr defaultColWidth="11" defaultRowHeight="13.5" x14ac:dyDescent="0.3"/>
  <cols>
    <col min="1" max="1" width="37.6640625" bestFit="1" customWidth="1"/>
    <col min="2" max="2" width="84.1640625" bestFit="1" customWidth="1"/>
    <col min="3" max="3" width="63.83203125" bestFit="1" customWidth="1"/>
    <col min="4" max="4" width="13.83203125" bestFit="1" customWidth="1"/>
    <col min="5" max="5" width="49.33203125" bestFit="1" customWidth="1"/>
  </cols>
  <sheetData>
    <row r="1" spans="1:5" x14ac:dyDescent="0.3">
      <c r="A1" s="2" t="s">
        <v>3</v>
      </c>
      <c r="B1" s="1" t="s">
        <v>0</v>
      </c>
      <c r="C1" t="s">
        <v>6</v>
      </c>
      <c r="D1" t="s">
        <v>4</v>
      </c>
      <c r="E1" t="s">
        <v>5</v>
      </c>
    </row>
    <row r="2" spans="1:5" x14ac:dyDescent="0.3">
      <c r="A2" t="str">
        <f>Bruno[[#This Row],[Jogos]]</f>
        <v>Universidad Central x Santos</v>
      </c>
      <c r="B2" t="str">
        <f>Bruno[[#This Row],[Placar Final]]</f>
        <v>1x4 (Maicol Ruiz; Bontempo, Gabriel Menino, Thaciano e Rony)</v>
      </c>
      <c r="C2" t="s">
        <v>38</v>
      </c>
      <c r="D2">
        <v>1</v>
      </c>
      <c r="E2" t="s">
        <v>41</v>
      </c>
    </row>
    <row r="3" spans="1:5" x14ac:dyDescent="0.3">
      <c r="A3" t="str">
        <f>Bruno[[#This Row],[Jogos]]</f>
        <v>Independiente Medellín x Vasco</v>
      </c>
      <c r="B3" t="str">
        <f>Bruno[[#This Row],[Placar Final]]</f>
        <v>2x2 (John Montaño e Carlos Cuesta [contra]; Joaquín Varela [contra] e Spinelli)</v>
      </c>
      <c r="C3" t="s">
        <v>45</v>
      </c>
      <c r="D3">
        <v>1</v>
      </c>
      <c r="E3" t="s">
        <v>41</v>
      </c>
    </row>
    <row r="4" spans="1:5" x14ac:dyDescent="0.3">
      <c r="A4" t="str">
        <f>Bruno[[#This Row],[Jogos]]</f>
        <v>Sporting Cristal x Red Bull Bragantino</v>
      </c>
      <c r="B4" t="str">
        <f>Bruno[[#This Row],[Placar Final]]</f>
        <v>0x0</v>
      </c>
      <c r="C4" t="s">
        <v>48</v>
      </c>
      <c r="D4">
        <v>0</v>
      </c>
      <c r="E4" t="s">
        <v>1</v>
      </c>
    </row>
    <row r="5" spans="1:5" x14ac:dyDescent="0.3">
      <c r="A5" t="str">
        <f>Bruno[[#This Row],[Jogos]]</f>
        <v>Bolívar x Grêmio</v>
      </c>
      <c r="B5" t="str">
        <f>Bruno[[#This Row],[Placar Final]]</f>
        <v>3x2 (Cauteruccio, Robson Matheus e Asprilla; Villasanti e Tetê)</v>
      </c>
      <c r="C5" t="s">
        <v>53</v>
      </c>
      <c r="D5">
        <v>3</v>
      </c>
      <c r="E5" t="s">
        <v>58</v>
      </c>
    </row>
    <row r="6" spans="1:5" x14ac:dyDescent="0.3">
      <c r="A6" t="str">
        <f>Bruno[[#This Row],[Jogos]]</f>
        <v>Santos x Universidad Central</v>
      </c>
      <c r="B6" t="str">
        <f>Bruno[[#This Row],[Placar Final]]</f>
        <v>4x2 (Miguelito, Gabriel Barbosa, Gabriel Menino e Rony; Samuel Sosa e Gonzalo Mottes)</v>
      </c>
      <c r="C6" t="s">
        <v>62</v>
      </c>
      <c r="D6">
        <v>4</v>
      </c>
      <c r="E6" t="s">
        <v>63</v>
      </c>
    </row>
    <row r="7" spans="1:5" x14ac:dyDescent="0.3">
      <c r="A7" t="str">
        <f>Bruno[[#This Row],[Jogos]]</f>
        <v>Vasco x Independiente Medellín</v>
      </c>
      <c r="B7" t="str">
        <f>Bruno[[#This Row],[Placar Final]]</f>
        <v>1x0 (Thiago Mendes)</v>
      </c>
      <c r="C7" t="s">
        <v>70</v>
      </c>
      <c r="D7">
        <v>3</v>
      </c>
      <c r="E7" t="s">
        <v>74</v>
      </c>
    </row>
    <row r="8" spans="1:5" x14ac:dyDescent="0.3">
      <c r="A8" t="str">
        <f>Bruno[[#This Row],[Jogos]]</f>
        <v>Red Bull Bragantino x Sporting Cristal</v>
      </c>
      <c r="B8" t="str">
        <f>Bruno[[#This Row],[Placar Final]]</f>
        <v>1x0 (Pedro Henrique)</v>
      </c>
      <c r="C8" t="s">
        <v>75</v>
      </c>
      <c r="D8">
        <v>3</v>
      </c>
      <c r="E8" t="s">
        <v>74</v>
      </c>
    </row>
    <row r="9" spans="1:5" x14ac:dyDescent="0.3">
      <c r="A9" t="str">
        <f>Bruno[[#This Row],[Jogos]]</f>
        <v>Grêmio x Bolívar</v>
      </c>
      <c r="B9" t="str">
        <f>Bruno[[#This Row],[Placar Final]]</f>
        <v>0x1 (Asprilla)</v>
      </c>
      <c r="C9" t="s">
        <v>89</v>
      </c>
      <c r="D9">
        <v>0</v>
      </c>
      <c r="E9" t="s">
        <v>1</v>
      </c>
    </row>
    <row r="10" spans="1:5" x14ac:dyDescent="0.3">
      <c r="A10" t="str">
        <f>Bruno[[#This Row],[Jogos]]</f>
        <v>Fluminense x Independiente Rivadavia</v>
      </c>
      <c r="B10" t="str">
        <f>Bruno[[#This Row],[Placar Final]]</f>
        <v>0x0</v>
      </c>
      <c r="C10" t="s">
        <v>96</v>
      </c>
      <c r="D10">
        <v>0</v>
      </c>
      <c r="E10" t="s">
        <v>1</v>
      </c>
    </row>
    <row r="11" spans="1:5" x14ac:dyDescent="0.3">
      <c r="A11" t="str">
        <f>Bruno[[#This Row],[Jogos]]</f>
        <v>Bolívar x São Paulo</v>
      </c>
      <c r="B11" t="str">
        <f>Bruno[[#This Row],[Placar Final]]</f>
        <v>1x1 (Carlos Melgar; Arboleda)</v>
      </c>
      <c r="C11" s="9" t="s">
        <v>99</v>
      </c>
      <c r="D11">
        <v>8</v>
      </c>
      <c r="E11" t="s">
        <v>104</v>
      </c>
    </row>
    <row r="12" spans="1:5" x14ac:dyDescent="0.3">
      <c r="A12" t="str">
        <f>Bruno[[#This Row],[Jogos]]</f>
        <v>Palmeiras x Cerro Porteño</v>
      </c>
      <c r="B12" t="str">
        <f>Bruno[[#This Row],[Placar Final]]</f>
        <v>1x1 (Flaco Lopez; Carlos Miguel [contra])</v>
      </c>
      <c r="C12" t="s">
        <v>107</v>
      </c>
      <c r="D12">
        <v>2</v>
      </c>
      <c r="E12" t="s">
        <v>114</v>
      </c>
    </row>
    <row r="13" spans="1:5" x14ac:dyDescent="0.3">
      <c r="A13" t="str">
        <f>Bruno[[#This Row],[Jogos]]</f>
        <v>Red Bull Bragantino x Atlético-MG</v>
      </c>
      <c r="B13" t="str">
        <f>Bruno[[#This Row],[Placar Final]]</f>
        <v>0x1 (Cuello)</v>
      </c>
      <c r="C13" t="s">
        <v>108</v>
      </c>
      <c r="D13">
        <v>1</v>
      </c>
      <c r="E13" t="s">
        <v>41</v>
      </c>
    </row>
    <row r="14" spans="1:5" x14ac:dyDescent="0.3">
      <c r="A14" t="str">
        <f>Bruno[[#This Row],[Jogos]]</f>
        <v>Cruzeiro x Flamengo</v>
      </c>
      <c r="B14" t="str">
        <f>Bruno[[#This Row],[Placar Final]]</f>
        <v>1x1 (Arroyo; Lucas Paquetá)</v>
      </c>
      <c r="C14" s="9" t="s">
        <v>117</v>
      </c>
      <c r="D14">
        <v>8</v>
      </c>
      <c r="E14" t="s">
        <v>104</v>
      </c>
    </row>
    <row r="15" spans="1:5" x14ac:dyDescent="0.3">
      <c r="A15" t="str">
        <f>Bruno[[#This Row],[Jogos]]</f>
        <v>Mirassol x LDU</v>
      </c>
      <c r="B15" t="str">
        <f>Bruno[[#This Row],[Placar Final]]</f>
        <v>1x1 (Eduardo; Michael Estrada)</v>
      </c>
      <c r="C15" t="s">
        <v>123</v>
      </c>
      <c r="D15">
        <v>1</v>
      </c>
      <c r="E15" t="s">
        <v>41</v>
      </c>
    </row>
    <row r="16" spans="1:5" x14ac:dyDescent="0.3">
      <c r="A16" t="str">
        <f>Bruno[[#This Row],[Jogos]]</f>
        <v>Santos x Macará</v>
      </c>
      <c r="B16" t="str">
        <f>Bruno[[#This Row],[Placar Final]]</f>
        <v>2x1 (Gabriel Barbosa e Willian Arão; Franco Posse)</v>
      </c>
      <c r="C16" s="9" t="s">
        <v>124</v>
      </c>
      <c r="D16">
        <v>9</v>
      </c>
      <c r="E16" t="s">
        <v>136</v>
      </c>
    </row>
    <row r="17" spans="1:5" x14ac:dyDescent="0.3">
      <c r="A17" t="str">
        <f>Bruno[[#This Row],[Jogos]]</f>
        <v>Vasco x Olimpia</v>
      </c>
      <c r="B17" t="str">
        <f>Bruno[[#This Row],[Placar Final]]</f>
        <v>0x0</v>
      </c>
      <c r="C17" t="s">
        <v>125</v>
      </c>
      <c r="D17">
        <v>3</v>
      </c>
      <c r="E17" t="s">
        <v>50</v>
      </c>
    </row>
    <row r="18" spans="1:5" x14ac:dyDescent="0.3">
      <c r="A18" t="str">
        <f>Bruno[[#This Row],[Jogos]]</f>
        <v>Rosario Central x Corinthians</v>
      </c>
      <c r="B18" t="str">
        <f>Bruno[[#This Row],[Placar Final]]</f>
        <v>0x0</v>
      </c>
      <c r="C18" t="s">
        <v>1</v>
      </c>
      <c r="D18">
        <v>0</v>
      </c>
      <c r="E18" t="s">
        <v>1</v>
      </c>
    </row>
    <row r="19" spans="1:5" x14ac:dyDescent="0.3">
      <c r="A19" t="str">
        <f>Bruno[[#This Row],[Jogos]]</f>
        <v>Cienciano x Botafogo</v>
      </c>
      <c r="B19" t="str">
        <f>Bruno[[#This Row],[Placar Final]]</f>
        <v>6x1 (Matias Succar 3x, Neri Bandiera 2x e Marcos Martinich; Matheus Martins)</v>
      </c>
      <c r="C19" t="s">
        <v>1</v>
      </c>
      <c r="D19">
        <v>0</v>
      </c>
      <c r="E19" t="s">
        <v>1</v>
      </c>
    </row>
    <row r="20" spans="1:5" x14ac:dyDescent="0.3">
      <c r="A20" t="str">
        <f>Bruno[[#This Row],[Jogos]]</f>
        <v>Independiente Rivadavia x Fluminense</v>
      </c>
      <c r="B20" t="str">
        <f>Bruno[[#This Row],[Placar Final]]</f>
        <v>1(4)x(5)1 (Arce; Serna)</v>
      </c>
      <c r="C20" t="s">
        <v>145</v>
      </c>
      <c r="D20">
        <v>2</v>
      </c>
      <c r="E20" t="s">
        <v>146</v>
      </c>
    </row>
    <row r="21" spans="1:5" x14ac:dyDescent="0.3">
      <c r="A21" t="str">
        <f>Bruno[[#This Row],[Jogos]]</f>
        <v>São Paulo x Bolívar</v>
      </c>
      <c r="B21" t="str">
        <f>Bruno[[#This Row],[Placar Final]]</f>
        <v>3x1 (Luciano, Calleri e Sabino; Asprilla)</v>
      </c>
      <c r="C21" t="s">
        <v>150</v>
      </c>
      <c r="D21">
        <v>4</v>
      </c>
      <c r="E21" t="s">
        <v>154</v>
      </c>
    </row>
    <row r="22" spans="1:5" x14ac:dyDescent="0.3">
      <c r="A22" t="str">
        <f>Bruno[[#This Row],[Jogos]]</f>
        <v>Cerro Porteño x Palmeiras</v>
      </c>
      <c r="B22" t="str">
        <f>Bruno[[#This Row],[Placar Final]]</f>
        <v>0x1 (Gustavo Gomez)</v>
      </c>
      <c r="C22" t="s">
        <v>160</v>
      </c>
      <c r="D22">
        <v>0</v>
      </c>
      <c r="E22" t="s">
        <v>1</v>
      </c>
    </row>
    <row r="23" spans="1:5" x14ac:dyDescent="0.3">
      <c r="A23" t="str">
        <f>Bruno[[#This Row],[Jogos]]</f>
        <v>Atlético-MG x Red Bull Bragantino</v>
      </c>
      <c r="B23" t="str">
        <f>Bruno[[#This Row],[Placar Final]]</f>
        <v>2x2 (Maycon e Cuello; Eric Ramires e Sasha)</v>
      </c>
      <c r="C23" t="s">
        <v>159</v>
      </c>
      <c r="D23">
        <v>2</v>
      </c>
      <c r="E23" t="s">
        <v>113</v>
      </c>
    </row>
    <row r="24" spans="1:5" x14ac:dyDescent="0.3">
      <c r="A24" t="str">
        <f>Bruno[[#This Row],[Jogos]]</f>
        <v>Flamengo x Cruzeiro</v>
      </c>
      <c r="B24" t="str">
        <f>Bruno[[#This Row],[Placar Final]]</f>
        <v>2x1 (Arrascaeta e Samuel Lino; Lucas Romero)</v>
      </c>
      <c r="C24" t="s">
        <v>164</v>
      </c>
      <c r="D24">
        <v>3</v>
      </c>
      <c r="E24" t="s">
        <v>74</v>
      </c>
    </row>
    <row r="25" spans="1:5" x14ac:dyDescent="0.3">
      <c r="A25" t="str">
        <f>Bruno[[#This Row],[Jogos]]</f>
        <v>LDU x Mirassol</v>
      </c>
      <c r="B25" t="str">
        <f>Bruno[[#This Row],[Placar Final]]</f>
        <v>0(5)x(4)0</v>
      </c>
      <c r="C25" t="s">
        <v>176</v>
      </c>
      <c r="D25">
        <v>0</v>
      </c>
      <c r="E25" t="s">
        <v>1</v>
      </c>
    </row>
    <row r="26" spans="1:5" x14ac:dyDescent="0.3">
      <c r="A26" t="str">
        <f>Bruno[[#This Row],[Jogos]]</f>
        <v>Macará x Santos</v>
      </c>
      <c r="B26" t="str">
        <f>Bruno[[#This Row],[Placar Final]]</f>
        <v>0x0</v>
      </c>
      <c r="C26" t="s">
        <v>177</v>
      </c>
      <c r="D26">
        <v>3</v>
      </c>
      <c r="E26" t="s">
        <v>50</v>
      </c>
    </row>
    <row r="27" spans="1:5" x14ac:dyDescent="0.3">
      <c r="A27" t="str">
        <f>Bruno[[#This Row],[Jogos]]</f>
        <v>Olimpia x Vasco</v>
      </c>
      <c r="B27" t="str">
        <f>Bruno[[#This Row],[Placar Final]]</f>
        <v>1x4 (Esteban Matus; Thiago Mendes, David, Adson e Spinelli)</v>
      </c>
      <c r="C27" t="s">
        <v>1</v>
      </c>
      <c r="D27">
        <v>0</v>
      </c>
      <c r="E27" t="s">
        <v>1</v>
      </c>
    </row>
    <row r="28" spans="1:5" x14ac:dyDescent="0.3">
      <c r="A28" t="str">
        <f>Bruno[[#This Row],[Jogos]]</f>
        <v>Corinthians x Rosario Central</v>
      </c>
      <c r="B28" t="str">
        <f>Bruno[[#This Row],[Placar Final]]</f>
        <v>1x0 (Breno Bidon)</v>
      </c>
      <c r="C28" t="s">
        <v>185</v>
      </c>
      <c r="D28">
        <v>4</v>
      </c>
      <c r="E28" t="s">
        <v>194</v>
      </c>
    </row>
    <row r="29" spans="1:5" x14ac:dyDescent="0.3">
      <c r="A29" t="str">
        <f>Bruno[[#This Row],[Jogos]]</f>
        <v>Botafogo x Cienciano</v>
      </c>
      <c r="B29" t="str">
        <f>Bruno[[#This Row],[Placar Final]]</f>
        <v>1x0 (Danilo Pereira)</v>
      </c>
      <c r="C29" t="s">
        <v>189</v>
      </c>
      <c r="D29">
        <v>2</v>
      </c>
      <c r="E29" t="s">
        <v>77</v>
      </c>
    </row>
    <row r="30" spans="1:5" x14ac:dyDescent="0.3">
      <c r="A30" t="str">
        <f>Bruno[[#This Row],[Jogos]]</f>
        <v>Fluminense x Platense</v>
      </c>
      <c r="B30" t="str">
        <f>Bruno[[#This Row],[Placar Final]]</f>
        <v>2x0 (Nonato e Hulk)</v>
      </c>
      <c r="C30" t="s">
        <v>210</v>
      </c>
      <c r="D30">
        <v>0</v>
      </c>
      <c r="E30" t="s">
        <v>1</v>
      </c>
    </row>
    <row r="31" spans="1:5" x14ac:dyDescent="0.3">
      <c r="A31" t="str">
        <f>Bruno[[#This Row],[Jogos]]</f>
        <v>Independiente Santa Fe x Vasco</v>
      </c>
      <c r="B31" t="str">
        <f>Bruno[[#This Row],[Placar Final]]</f>
        <v>0x0</v>
      </c>
      <c r="C31" t="s">
        <v>1</v>
      </c>
      <c r="D31">
        <v>0</v>
      </c>
      <c r="E31" t="s">
        <v>1</v>
      </c>
    </row>
    <row r="32" spans="1:5" x14ac:dyDescent="0.3">
      <c r="A32" t="str">
        <f>Bruno[[#This Row],[Jogos]]</f>
        <v>Boca Juniors x São Paulo</v>
      </c>
      <c r="B32" t="str">
        <f>Bruno[[#This Row],[Placar Final]]</f>
        <v>1x0 (Merentiel)</v>
      </c>
      <c r="C32" t="s">
        <v>1</v>
      </c>
      <c r="D32">
        <v>0</v>
      </c>
      <c r="E32" t="s">
        <v>1</v>
      </c>
    </row>
    <row r="33" spans="1:5" x14ac:dyDescent="0.3">
      <c r="A33" t="str">
        <f>Bruno[[#This Row],[Jogos]]</f>
        <v>Palmeiras x LDU</v>
      </c>
      <c r="B33" t="str">
        <f>Bruno[[#This Row],[Placar Final]]</f>
        <v>1x0 (Giay)</v>
      </c>
      <c r="C33" t="s">
        <v>231</v>
      </c>
      <c r="D33">
        <v>3</v>
      </c>
      <c r="E33" t="s">
        <v>78</v>
      </c>
    </row>
    <row r="34" spans="1:5" x14ac:dyDescent="0.3">
      <c r="A34" t="str">
        <f>Bruno[[#This Row],[Jogos]]</f>
        <v>Santos x Atlético-MG</v>
      </c>
      <c r="B34" t="str">
        <f>Bruno[[#This Row],[Placar Final]]</f>
        <v>2x0 (Willian Arão e Oliva)</v>
      </c>
      <c r="C34" t="s">
        <v>232</v>
      </c>
      <c r="D34">
        <v>3</v>
      </c>
      <c r="E34" t="s">
        <v>78</v>
      </c>
    </row>
    <row r="35" spans="1:5" x14ac:dyDescent="0.3">
      <c r="A35" t="str">
        <f>Bruno[[#This Row],[Jogos]]</f>
        <v>Estudiantes x Corinthians</v>
      </c>
      <c r="B35" t="str">
        <f>Bruno[[#This Row],[Placar Final]]</f>
        <v>1x1 (Alexis Castro; Kaio César)</v>
      </c>
      <c r="C35" t="s">
        <v>235</v>
      </c>
      <c r="D35">
        <v>1</v>
      </c>
      <c r="E35" t="s">
        <v>41</v>
      </c>
    </row>
    <row r="36" spans="1:5" x14ac:dyDescent="0.3">
      <c r="A36" t="str">
        <f>Bruno[[#This Row],[Jogos]]</f>
        <v>Independiente del Valle x Flamengo</v>
      </c>
      <c r="B36" t="str">
        <f>Bruno[[#This Row],[Placar Final]]</f>
        <v>0x2 (Bruno Henrique e Léo Pereira)</v>
      </c>
      <c r="C36" t="s">
        <v>240</v>
      </c>
      <c r="D36">
        <v>2</v>
      </c>
      <c r="E36" t="s">
        <v>77</v>
      </c>
    </row>
    <row r="37" spans="1:5" x14ac:dyDescent="0.3">
      <c r="A37" t="str">
        <f>Bruno[[#This Row],[Jogos]]</f>
        <v>Platense x Fluminense</v>
      </c>
      <c r="B37" t="str">
        <f>Bruno[[#This Row],[Placar Final]]</f>
        <v>2x1 (Guido Mainero e Bruno Sepulveda; Canobbio)</v>
      </c>
      <c r="C37" t="s">
        <v>247</v>
      </c>
      <c r="D37">
        <v>2</v>
      </c>
      <c r="E37" t="s">
        <v>251</v>
      </c>
    </row>
    <row r="38" spans="1:5" x14ac:dyDescent="0.3">
      <c r="A38" t="str">
        <f>Bruno[[#This Row],[Jogos]]</f>
        <v>Vasco x Independiente Santa Fe</v>
      </c>
      <c r="B38" t="str">
        <f>Bruno[[#This Row],[Placar Final]]</f>
        <v>2x0 (Bruno Duarte e David)</v>
      </c>
      <c r="C38" t="s">
        <v>248</v>
      </c>
      <c r="D38">
        <v>3</v>
      </c>
      <c r="E38" t="s">
        <v>78</v>
      </c>
    </row>
    <row r="39" spans="1:5" x14ac:dyDescent="0.3">
      <c r="A39" t="str">
        <f>Bruno[[#This Row],[Jogos]]</f>
        <v>São Paulo x Boca Juniors</v>
      </c>
      <c r="B39" t="str">
        <f>Bruno[[#This Row],[Placar Final]]</f>
        <v>1x1 (Domingos Duarte; Leandro Lozano)</v>
      </c>
      <c r="C39" t="s">
        <v>254</v>
      </c>
      <c r="D39">
        <v>0</v>
      </c>
      <c r="E39" t="s">
        <v>1</v>
      </c>
    </row>
    <row r="40" spans="1:5" x14ac:dyDescent="0.3">
      <c r="A40" t="str">
        <f>Bruno[[#This Row],[Jogos]]</f>
        <v>LDU x Palmeiras</v>
      </c>
      <c r="B40" t="str">
        <f>Bruno[[#This Row],[Placar Final]]</f>
        <v>19h00</v>
      </c>
      <c r="C40" t="s">
        <v>1</v>
      </c>
      <c r="D40">
        <v>0</v>
      </c>
      <c r="E40" t="s">
        <v>1</v>
      </c>
    </row>
    <row r="41" spans="1:5" x14ac:dyDescent="0.3">
      <c r="A41" t="str">
        <f>Bruno[[#This Row],[Jogos]]</f>
        <v>Atlético-MG x Santos</v>
      </c>
      <c r="B41" t="str">
        <f>Bruno[[#This Row],[Placar Final]]</f>
        <v>19h00</v>
      </c>
      <c r="C41" t="s">
        <v>1</v>
      </c>
      <c r="D41">
        <v>0</v>
      </c>
      <c r="E41" t="s">
        <v>1</v>
      </c>
    </row>
    <row r="42" spans="1:5" x14ac:dyDescent="0.3">
      <c r="A42" t="str">
        <f>Bruno[[#This Row],[Jogos]]</f>
        <v>Corinthians x Estudiantes</v>
      </c>
      <c r="B42" t="str">
        <f>Bruno[[#This Row],[Placar Final]]</f>
        <v>21h30</v>
      </c>
      <c r="C42" t="s">
        <v>1</v>
      </c>
      <c r="D42">
        <v>0</v>
      </c>
      <c r="E42" t="s">
        <v>1</v>
      </c>
    </row>
    <row r="43" spans="1:5" x14ac:dyDescent="0.3">
      <c r="A43" t="str">
        <f>Bruno[[#This Row],[Jogos]]</f>
        <v>Flamengo x Independiente del Valle</v>
      </c>
      <c r="B43" t="str">
        <f>Bruno[[#This Row],[Placar Final]]</f>
        <v>Amanhã - 21h30</v>
      </c>
      <c r="C43" t="s">
        <v>1</v>
      </c>
      <c r="D43">
        <v>0</v>
      </c>
      <c r="E43" t="s">
        <v>1</v>
      </c>
    </row>
    <row r="44" spans="1:5" x14ac:dyDescent="0.3">
      <c r="A44" t="s">
        <v>2</v>
      </c>
      <c r="D44">
        <f>SUBTOTAL(109,Davi[Pontuação])</f>
        <v>81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3BD6-99B8-48E5-BEFB-D6420131C8CE}">
  <dimension ref="A1:E44"/>
  <sheetViews>
    <sheetView workbookViewId="0">
      <pane ySplit="1" topLeftCell="A24" activePane="bottomLeft" state="frozen"/>
      <selection pane="bottomLeft" activeCell="A46" sqref="A46"/>
    </sheetView>
  </sheetViews>
  <sheetFormatPr defaultColWidth="12.33203125" defaultRowHeight="13.5" x14ac:dyDescent="0.3"/>
  <cols>
    <col min="1" max="1" width="37.6640625" bestFit="1" customWidth="1"/>
    <col min="2" max="2" width="84.1640625" bestFit="1" customWidth="1"/>
    <col min="3" max="3" width="72.5" bestFit="1" customWidth="1"/>
    <col min="4" max="4" width="13.83203125" bestFit="1" customWidth="1"/>
    <col min="5" max="5" width="62.6640625" bestFit="1" customWidth="1"/>
  </cols>
  <sheetData>
    <row r="1" spans="1:5" x14ac:dyDescent="0.3">
      <c r="A1" s="2" t="s">
        <v>3</v>
      </c>
      <c r="B1" s="1" t="s">
        <v>0</v>
      </c>
      <c r="C1" t="s">
        <v>6</v>
      </c>
      <c r="D1" t="s">
        <v>4</v>
      </c>
      <c r="E1" t="s">
        <v>5</v>
      </c>
    </row>
    <row r="2" spans="1:5" x14ac:dyDescent="0.3">
      <c r="A2" t="str">
        <f>Bruno[[#This Row],[Jogos]]</f>
        <v>Universidad Central x Santos</v>
      </c>
      <c r="B2" t="str">
        <f>Bruno[[#This Row],[Placar Final]]</f>
        <v>1x4 (Maicol Ruiz; Bontempo, Gabriel Menino, Thaciano e Rony)</v>
      </c>
      <c r="C2" t="s">
        <v>36</v>
      </c>
      <c r="D2">
        <v>4</v>
      </c>
      <c r="E2" t="s">
        <v>40</v>
      </c>
    </row>
    <row r="3" spans="1:5" x14ac:dyDescent="0.3">
      <c r="A3" t="str">
        <f>Bruno[[#This Row],[Jogos]]</f>
        <v>Independiente Medellín x Vasco</v>
      </c>
      <c r="B3" t="str">
        <f>Bruno[[#This Row],[Placar Final]]</f>
        <v>2x2 (John Montaño e Carlos Cuesta [contra]; Joaquín Varela [contra] e Spinelli)</v>
      </c>
      <c r="C3" t="s">
        <v>44</v>
      </c>
      <c r="D3">
        <v>1</v>
      </c>
      <c r="E3" t="s">
        <v>41</v>
      </c>
    </row>
    <row r="4" spans="1:5" x14ac:dyDescent="0.3">
      <c r="A4" t="str">
        <f>Bruno[[#This Row],[Jogos]]</f>
        <v>Sporting Cristal x Red Bull Bragantino</v>
      </c>
      <c r="B4" t="str">
        <f>Bruno[[#This Row],[Placar Final]]</f>
        <v>0x0</v>
      </c>
      <c r="C4" t="s">
        <v>47</v>
      </c>
      <c r="D4">
        <v>3</v>
      </c>
      <c r="E4" t="s">
        <v>50</v>
      </c>
    </row>
    <row r="5" spans="1:5" x14ac:dyDescent="0.3">
      <c r="A5" t="str">
        <f>Bruno[[#This Row],[Jogos]]</f>
        <v>Bolívar x Grêmio</v>
      </c>
      <c r="B5" t="str">
        <f>Bruno[[#This Row],[Placar Final]]</f>
        <v>3x2 (Cauteruccio, Robson Matheus e Asprilla; Villasanti e Tetê)</v>
      </c>
      <c r="C5" t="s">
        <v>51</v>
      </c>
      <c r="D5">
        <v>1</v>
      </c>
      <c r="E5" t="s">
        <v>55</v>
      </c>
    </row>
    <row r="6" spans="1:5" x14ac:dyDescent="0.3">
      <c r="A6" t="str">
        <f>Bruno[[#This Row],[Jogos]]</f>
        <v>Santos x Universidad Central</v>
      </c>
      <c r="B6" t="str">
        <f>Bruno[[#This Row],[Placar Final]]</f>
        <v>4x2 (Miguelito, Gabriel Barbosa, Gabriel Menino e Rony; Samuel Sosa e Gonzalo Mottes)</v>
      </c>
      <c r="C6" t="s">
        <v>60</v>
      </c>
      <c r="D6">
        <v>4</v>
      </c>
      <c r="E6" t="s">
        <v>64</v>
      </c>
    </row>
    <row r="7" spans="1:5" x14ac:dyDescent="0.3">
      <c r="A7" t="str">
        <f>Bruno[[#This Row],[Jogos]]</f>
        <v>Vasco x Independiente Medellín</v>
      </c>
      <c r="B7" t="str">
        <f>Bruno[[#This Row],[Placar Final]]</f>
        <v>1x0 (Thiago Mendes)</v>
      </c>
      <c r="C7" t="s">
        <v>69</v>
      </c>
      <c r="D7">
        <v>2</v>
      </c>
      <c r="E7" t="s">
        <v>77</v>
      </c>
    </row>
    <row r="8" spans="1:5" x14ac:dyDescent="0.3">
      <c r="A8" t="str">
        <f>Bruno[[#This Row],[Jogos]]</f>
        <v>Red Bull Bragantino x Sporting Cristal</v>
      </c>
      <c r="B8" t="str">
        <f>Bruno[[#This Row],[Placar Final]]</f>
        <v>1x0 (Pedro Henrique)</v>
      </c>
      <c r="C8" t="s">
        <v>76</v>
      </c>
      <c r="D8">
        <v>0</v>
      </c>
      <c r="E8" t="s">
        <v>1</v>
      </c>
    </row>
    <row r="9" spans="1:5" x14ac:dyDescent="0.3">
      <c r="A9" t="str">
        <f>Bruno[[#This Row],[Jogos]]</f>
        <v>Grêmio x Bolívar</v>
      </c>
      <c r="B9" t="str">
        <f>Bruno[[#This Row],[Placar Final]]</f>
        <v>0x1 (Asprilla)</v>
      </c>
      <c r="C9" t="s">
        <v>90</v>
      </c>
      <c r="D9">
        <v>2</v>
      </c>
      <c r="E9" t="s">
        <v>94</v>
      </c>
    </row>
    <row r="10" spans="1:5" x14ac:dyDescent="0.3">
      <c r="A10" t="str">
        <f>Bruno[[#This Row],[Jogos]]</f>
        <v>Fluminense x Independiente Rivadavia</v>
      </c>
      <c r="B10" t="str">
        <f>Bruno[[#This Row],[Placar Final]]</f>
        <v>0x0</v>
      </c>
      <c r="C10" t="s">
        <v>97</v>
      </c>
      <c r="D10">
        <v>3</v>
      </c>
      <c r="E10" t="s">
        <v>50</v>
      </c>
    </row>
    <row r="11" spans="1:5" x14ac:dyDescent="0.3">
      <c r="A11" t="str">
        <f>Bruno[[#This Row],[Jogos]]</f>
        <v>Bolívar x São Paulo</v>
      </c>
      <c r="B11" t="str">
        <f>Bruno[[#This Row],[Placar Final]]</f>
        <v>1x1 (Carlos Melgar; Arboleda)</v>
      </c>
      <c r="C11" t="s">
        <v>100</v>
      </c>
      <c r="D11">
        <v>0</v>
      </c>
      <c r="E11" t="s">
        <v>1</v>
      </c>
    </row>
    <row r="12" spans="1:5" x14ac:dyDescent="0.3">
      <c r="A12" t="str">
        <f>Bruno[[#This Row],[Jogos]]</f>
        <v>Palmeiras x Cerro Porteño</v>
      </c>
      <c r="B12" t="str">
        <f>Bruno[[#This Row],[Placar Final]]</f>
        <v>1x1 (Flaco Lopez; Carlos Miguel [contra])</v>
      </c>
      <c r="C12" t="s">
        <v>109</v>
      </c>
      <c r="D12">
        <v>2</v>
      </c>
      <c r="E12" t="s">
        <v>114</v>
      </c>
    </row>
    <row r="13" spans="1:5" x14ac:dyDescent="0.3">
      <c r="A13" t="str">
        <f>Bruno[[#This Row],[Jogos]]</f>
        <v>Red Bull Bragantino x Atlético-MG</v>
      </c>
      <c r="B13" t="str">
        <f>Bruno[[#This Row],[Placar Final]]</f>
        <v>0x1 (Cuello)</v>
      </c>
      <c r="C13" t="s">
        <v>37</v>
      </c>
      <c r="D13">
        <v>1</v>
      </c>
      <c r="E13" t="s">
        <v>41</v>
      </c>
    </row>
    <row r="14" spans="1:5" x14ac:dyDescent="0.3">
      <c r="A14" t="str">
        <f>Bruno[[#This Row],[Jogos]]</f>
        <v>Cruzeiro x Flamengo</v>
      </c>
      <c r="B14" t="str">
        <f>Bruno[[#This Row],[Placar Final]]</f>
        <v>1x1 (Arroyo; Lucas Paquetá)</v>
      </c>
      <c r="C14" t="s">
        <v>118</v>
      </c>
      <c r="D14">
        <v>1</v>
      </c>
      <c r="E14" t="s">
        <v>41</v>
      </c>
    </row>
    <row r="15" spans="1:5" x14ac:dyDescent="0.3">
      <c r="A15" t="str">
        <f>Bruno[[#This Row],[Jogos]]</f>
        <v>Mirassol x LDU</v>
      </c>
      <c r="B15" t="str">
        <f>Bruno[[#This Row],[Placar Final]]</f>
        <v>1x1 (Eduardo; Michael Estrada)</v>
      </c>
      <c r="C15" s="9" t="s">
        <v>126</v>
      </c>
      <c r="D15">
        <v>8</v>
      </c>
      <c r="E15" t="s">
        <v>104</v>
      </c>
    </row>
    <row r="16" spans="1:5" x14ac:dyDescent="0.3">
      <c r="A16" t="str">
        <f>Bruno[[#This Row],[Jogos]]</f>
        <v>Santos x Macará</v>
      </c>
      <c r="B16" t="str">
        <f>Bruno[[#This Row],[Placar Final]]</f>
        <v>2x1 (Gabriel Barbosa e Willian Arão; Franco Posse)</v>
      </c>
      <c r="C16" t="s">
        <v>127</v>
      </c>
      <c r="D16">
        <v>4</v>
      </c>
      <c r="E16" t="s">
        <v>137</v>
      </c>
    </row>
    <row r="17" spans="1:5" x14ac:dyDescent="0.3">
      <c r="A17" t="str">
        <f>Bruno[[#This Row],[Jogos]]</f>
        <v>Vasco x Olimpia</v>
      </c>
      <c r="B17" t="str">
        <f>Bruno[[#This Row],[Placar Final]]</f>
        <v>0x0</v>
      </c>
      <c r="C17" t="s">
        <v>128</v>
      </c>
      <c r="D17">
        <v>1</v>
      </c>
      <c r="E17" t="s">
        <v>41</v>
      </c>
    </row>
    <row r="18" spans="1:5" x14ac:dyDescent="0.3">
      <c r="A18" t="str">
        <f>Bruno[[#This Row],[Jogos]]</f>
        <v>Rosario Central x Corinthians</v>
      </c>
      <c r="B18" t="str">
        <f>Bruno[[#This Row],[Placar Final]]</f>
        <v>0x0</v>
      </c>
      <c r="C18" t="s">
        <v>129</v>
      </c>
      <c r="D18">
        <v>1</v>
      </c>
      <c r="E18" t="s">
        <v>41</v>
      </c>
    </row>
    <row r="19" spans="1:5" x14ac:dyDescent="0.3">
      <c r="A19" t="str">
        <f>Bruno[[#This Row],[Jogos]]</f>
        <v>Cienciano x Botafogo</v>
      </c>
      <c r="B19" t="str">
        <f>Bruno[[#This Row],[Placar Final]]</f>
        <v>6x1 (Matias Succar 3x, Neri Bandiera 2x e Marcos Martinich; Matheus Martins)</v>
      </c>
      <c r="C19" t="s">
        <v>130</v>
      </c>
      <c r="D19">
        <v>1</v>
      </c>
      <c r="E19" t="s">
        <v>41</v>
      </c>
    </row>
    <row r="20" spans="1:5" x14ac:dyDescent="0.3">
      <c r="A20" t="str">
        <f>Bruno[[#This Row],[Jogos]]</f>
        <v>Independiente Rivadavia x Fluminense</v>
      </c>
      <c r="B20" t="str">
        <f>Bruno[[#This Row],[Placar Final]]</f>
        <v>1(4)x(5)1 (Arce; Serna)</v>
      </c>
      <c r="C20" s="9" t="s">
        <v>147</v>
      </c>
      <c r="D20">
        <v>11</v>
      </c>
      <c r="E20" t="s">
        <v>148</v>
      </c>
    </row>
    <row r="21" spans="1:5" x14ac:dyDescent="0.3">
      <c r="A21" t="str">
        <f>Bruno[[#This Row],[Jogos]]</f>
        <v>São Paulo x Bolívar</v>
      </c>
      <c r="B21" t="str">
        <f>Bruno[[#This Row],[Placar Final]]</f>
        <v>3x1 (Luciano, Calleri e Sabino; Asprilla)</v>
      </c>
      <c r="C21" t="s">
        <v>149</v>
      </c>
      <c r="D21">
        <v>6</v>
      </c>
      <c r="E21" t="s">
        <v>155</v>
      </c>
    </row>
    <row r="22" spans="1:5" x14ac:dyDescent="0.3">
      <c r="A22" t="str">
        <f>Bruno[[#This Row],[Jogos]]</f>
        <v>Cerro Porteño x Palmeiras</v>
      </c>
      <c r="B22" t="str">
        <f>Bruno[[#This Row],[Placar Final]]</f>
        <v>0x1 (Gustavo Gomez)</v>
      </c>
      <c r="C22" t="s">
        <v>157</v>
      </c>
      <c r="D22">
        <v>3</v>
      </c>
      <c r="E22" t="s">
        <v>74</v>
      </c>
    </row>
    <row r="23" spans="1:5" x14ac:dyDescent="0.3">
      <c r="A23" t="str">
        <f>Bruno[[#This Row],[Jogos]]</f>
        <v>Atlético-MG x Red Bull Bragantino</v>
      </c>
      <c r="B23" t="str">
        <f>Bruno[[#This Row],[Placar Final]]</f>
        <v>2x2 (Maycon e Cuello; Eric Ramires e Sasha)</v>
      </c>
      <c r="C23" t="s">
        <v>158</v>
      </c>
      <c r="D23">
        <v>2</v>
      </c>
      <c r="E23" t="s">
        <v>166</v>
      </c>
    </row>
    <row r="24" spans="1:5" x14ac:dyDescent="0.3">
      <c r="A24" t="str">
        <f>Bruno[[#This Row],[Jogos]]</f>
        <v>Flamengo x Cruzeiro</v>
      </c>
      <c r="B24" t="str">
        <f>Bruno[[#This Row],[Placar Final]]</f>
        <v>2x1 (Arrascaeta e Samuel Lino; Lucas Romero)</v>
      </c>
      <c r="C24" t="s">
        <v>161</v>
      </c>
      <c r="D24">
        <v>1</v>
      </c>
      <c r="E24" t="s">
        <v>41</v>
      </c>
    </row>
    <row r="25" spans="1:5" x14ac:dyDescent="0.3">
      <c r="A25" t="str">
        <f>Bruno[[#This Row],[Jogos]]</f>
        <v>LDU x Mirassol</v>
      </c>
      <c r="B25" t="str">
        <f>Bruno[[#This Row],[Placar Final]]</f>
        <v>0(5)x(4)0</v>
      </c>
      <c r="C25" t="s">
        <v>173</v>
      </c>
      <c r="D25">
        <v>1</v>
      </c>
      <c r="E25" t="s">
        <v>41</v>
      </c>
    </row>
    <row r="26" spans="1:5" x14ac:dyDescent="0.3">
      <c r="A26" t="str">
        <f>Bruno[[#This Row],[Jogos]]</f>
        <v>Macará x Santos</v>
      </c>
      <c r="B26" t="str">
        <f>Bruno[[#This Row],[Placar Final]]</f>
        <v>0x0</v>
      </c>
      <c r="C26" t="s">
        <v>174</v>
      </c>
      <c r="D26">
        <v>1</v>
      </c>
      <c r="E26" t="s">
        <v>41</v>
      </c>
    </row>
    <row r="27" spans="1:5" x14ac:dyDescent="0.3">
      <c r="A27" t="str">
        <f>Bruno[[#This Row],[Jogos]]</f>
        <v>Olimpia x Vasco</v>
      </c>
      <c r="B27" t="str">
        <f>Bruno[[#This Row],[Placar Final]]</f>
        <v>1x4 (Esteban Matus; Thiago Mendes, David, Adson e Spinelli)</v>
      </c>
      <c r="C27" t="s">
        <v>175</v>
      </c>
      <c r="D27">
        <v>1</v>
      </c>
      <c r="E27" t="s">
        <v>187</v>
      </c>
    </row>
    <row r="28" spans="1:5" x14ac:dyDescent="0.3">
      <c r="A28" t="str">
        <f>Bruno[[#This Row],[Jogos]]</f>
        <v>Corinthians x Rosario Central</v>
      </c>
      <c r="B28" t="str">
        <f>Bruno[[#This Row],[Placar Final]]</f>
        <v>1x0 (Breno Bidon)</v>
      </c>
      <c r="C28" t="s">
        <v>183</v>
      </c>
      <c r="D28">
        <v>3</v>
      </c>
      <c r="E28" t="s">
        <v>78</v>
      </c>
    </row>
    <row r="29" spans="1:5" x14ac:dyDescent="0.3">
      <c r="A29" t="str">
        <f>Bruno[[#This Row],[Jogos]]</f>
        <v>Botafogo x Cienciano</v>
      </c>
      <c r="B29" t="str">
        <f>Bruno[[#This Row],[Placar Final]]</f>
        <v>1x0 (Danilo Pereira)</v>
      </c>
      <c r="C29" t="s">
        <v>184</v>
      </c>
      <c r="D29">
        <v>4</v>
      </c>
      <c r="E29" t="s">
        <v>195</v>
      </c>
    </row>
    <row r="30" spans="1:5" x14ac:dyDescent="0.3">
      <c r="A30" t="str">
        <f>Bruno[[#This Row],[Jogos]]</f>
        <v>Fluminense x Platense</v>
      </c>
      <c r="B30" t="str">
        <f>Bruno[[#This Row],[Placar Final]]</f>
        <v>2x0 (Nonato e Hulk)</v>
      </c>
      <c r="C30" t="s">
        <v>213</v>
      </c>
      <c r="D30">
        <v>3</v>
      </c>
      <c r="E30" t="s">
        <v>78</v>
      </c>
    </row>
    <row r="31" spans="1:5" x14ac:dyDescent="0.3">
      <c r="A31" t="str">
        <f>Bruno[[#This Row],[Jogos]]</f>
        <v>Independiente Santa Fe x Vasco</v>
      </c>
      <c r="B31" t="str">
        <f>Bruno[[#This Row],[Placar Final]]</f>
        <v>0x0</v>
      </c>
      <c r="C31" t="s">
        <v>214</v>
      </c>
      <c r="D31">
        <v>1</v>
      </c>
      <c r="E31" t="s">
        <v>41</v>
      </c>
    </row>
    <row r="32" spans="1:5" x14ac:dyDescent="0.3">
      <c r="A32" t="str">
        <f>Bruno[[#This Row],[Jogos]]</f>
        <v>Boca Juniors x São Paulo</v>
      </c>
      <c r="B32" t="str">
        <f>Bruno[[#This Row],[Placar Final]]</f>
        <v>1x0 (Merentiel)</v>
      </c>
      <c r="C32" t="s">
        <v>219</v>
      </c>
      <c r="D32">
        <v>4</v>
      </c>
      <c r="E32" t="s">
        <v>224</v>
      </c>
    </row>
    <row r="33" spans="1:5" x14ac:dyDescent="0.3">
      <c r="A33" t="str">
        <f>Bruno[[#This Row],[Jogos]]</f>
        <v>Palmeiras x LDU</v>
      </c>
      <c r="B33" t="str">
        <f>Bruno[[#This Row],[Placar Final]]</f>
        <v>1x0 (Giay)</v>
      </c>
      <c r="C33" t="s">
        <v>225</v>
      </c>
      <c r="D33">
        <v>2</v>
      </c>
      <c r="E33" t="s">
        <v>77</v>
      </c>
    </row>
    <row r="34" spans="1:5" x14ac:dyDescent="0.3">
      <c r="A34" t="str">
        <f>Bruno[[#This Row],[Jogos]]</f>
        <v>Santos x Atlético-MG</v>
      </c>
      <c r="B34" t="str">
        <f>Bruno[[#This Row],[Placar Final]]</f>
        <v>2x0 (Willian Arão e Oliva)</v>
      </c>
      <c r="C34" t="s">
        <v>226</v>
      </c>
      <c r="D34">
        <v>0</v>
      </c>
      <c r="E34" t="s">
        <v>1</v>
      </c>
    </row>
    <row r="35" spans="1:5" x14ac:dyDescent="0.3">
      <c r="A35" t="str">
        <f>Bruno[[#This Row],[Jogos]]</f>
        <v>Estudiantes x Corinthians</v>
      </c>
      <c r="B35" t="str">
        <f>Bruno[[#This Row],[Placar Final]]</f>
        <v>1x1 (Alexis Castro; Kaio César)</v>
      </c>
      <c r="C35" t="s">
        <v>227</v>
      </c>
      <c r="D35">
        <v>1</v>
      </c>
      <c r="E35" t="s">
        <v>41</v>
      </c>
    </row>
    <row r="36" spans="1:5" x14ac:dyDescent="0.3">
      <c r="A36" t="str">
        <f>Bruno[[#This Row],[Jogos]]</f>
        <v>Independiente del Valle x Flamengo</v>
      </c>
      <c r="B36" t="str">
        <f>Bruno[[#This Row],[Placar Final]]</f>
        <v>0x2 (Bruno Henrique e Léo Pereira)</v>
      </c>
      <c r="C36" t="s">
        <v>237</v>
      </c>
      <c r="D36">
        <v>0</v>
      </c>
      <c r="E36" t="s">
        <v>1</v>
      </c>
    </row>
    <row r="37" spans="1:5" x14ac:dyDescent="0.3">
      <c r="A37" t="str">
        <f>Bruno[[#This Row],[Jogos]]</f>
        <v>Platense x Fluminense</v>
      </c>
      <c r="B37" t="str">
        <f>Bruno[[#This Row],[Placar Final]]</f>
        <v>2x1 (Guido Mainero e Bruno Sepulveda; Canobbio)</v>
      </c>
      <c r="C37" t="s">
        <v>245</v>
      </c>
      <c r="D37">
        <v>0</v>
      </c>
      <c r="E37" t="s">
        <v>1</v>
      </c>
    </row>
    <row r="38" spans="1:5" x14ac:dyDescent="0.3">
      <c r="A38" t="str">
        <f>Bruno[[#This Row],[Jogos]]</f>
        <v>Vasco x Independiente Santa Fe</v>
      </c>
      <c r="B38" t="str">
        <f>Bruno[[#This Row],[Placar Final]]</f>
        <v>2x0 (Bruno Duarte e David)</v>
      </c>
      <c r="C38" t="s">
        <v>246</v>
      </c>
      <c r="D38">
        <v>4</v>
      </c>
      <c r="E38" t="s">
        <v>253</v>
      </c>
    </row>
    <row r="39" spans="1:5" x14ac:dyDescent="0.3">
      <c r="A39" t="str">
        <f>Bruno[[#This Row],[Jogos]]</f>
        <v>São Paulo x Boca Juniors</v>
      </c>
      <c r="B39" t="str">
        <f>Bruno[[#This Row],[Placar Final]]</f>
        <v>1x1 (Domingos Duarte; Leandro Lozano)</v>
      </c>
      <c r="C39" t="s">
        <v>257</v>
      </c>
      <c r="D39">
        <v>1</v>
      </c>
      <c r="E39" t="s">
        <v>41</v>
      </c>
    </row>
    <row r="40" spans="1:5" x14ac:dyDescent="0.3">
      <c r="A40" t="str">
        <f>Bruno[[#This Row],[Jogos]]</f>
        <v>LDU x Palmeiras</v>
      </c>
      <c r="B40" t="str">
        <f>Bruno[[#This Row],[Placar Final]]</f>
        <v>19h00</v>
      </c>
      <c r="C40" t="s">
        <v>1</v>
      </c>
      <c r="D40">
        <v>0</v>
      </c>
      <c r="E40" t="s">
        <v>1</v>
      </c>
    </row>
    <row r="41" spans="1:5" x14ac:dyDescent="0.3">
      <c r="A41" t="str">
        <f>Bruno[[#This Row],[Jogos]]</f>
        <v>Atlético-MG x Santos</v>
      </c>
      <c r="B41" t="str">
        <f>Bruno[[#This Row],[Placar Final]]</f>
        <v>19h00</v>
      </c>
      <c r="C41" t="s">
        <v>1</v>
      </c>
      <c r="D41">
        <v>0</v>
      </c>
      <c r="E41" t="s">
        <v>1</v>
      </c>
    </row>
    <row r="42" spans="1:5" x14ac:dyDescent="0.3">
      <c r="A42" t="str">
        <f>Bruno[[#This Row],[Jogos]]</f>
        <v>Corinthians x Estudiantes</v>
      </c>
      <c r="B42" t="str">
        <f>Bruno[[#This Row],[Placar Final]]</f>
        <v>21h30</v>
      </c>
      <c r="C42" t="s">
        <v>1</v>
      </c>
      <c r="D42">
        <v>0</v>
      </c>
      <c r="E42" t="s">
        <v>1</v>
      </c>
    </row>
    <row r="43" spans="1:5" x14ac:dyDescent="0.3">
      <c r="A43" t="str">
        <f>Bruno[[#This Row],[Jogos]]</f>
        <v>Flamengo x Independiente del Valle</v>
      </c>
      <c r="B43" t="str">
        <f>Bruno[[#This Row],[Placar Final]]</f>
        <v>Amanhã - 21h30</v>
      </c>
      <c r="C43" t="s">
        <v>1</v>
      </c>
      <c r="D43">
        <v>0</v>
      </c>
      <c r="E43" t="s">
        <v>1</v>
      </c>
    </row>
    <row r="44" spans="1:5" x14ac:dyDescent="0.3">
      <c r="A44" t="s">
        <v>2</v>
      </c>
      <c r="D44">
        <f>SUBTOTAL(109,Douglas[Pontuação])</f>
        <v>88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3A20-1995-4300-8654-F72460A851E9}">
  <dimension ref="A1:E44"/>
  <sheetViews>
    <sheetView workbookViewId="0">
      <pane ySplit="1" topLeftCell="A24" activePane="bottomLeft" state="frozen"/>
      <selection pane="bottomLeft" activeCell="A46" sqref="A46"/>
    </sheetView>
  </sheetViews>
  <sheetFormatPr defaultColWidth="15" defaultRowHeight="13.5" x14ac:dyDescent="0.3"/>
  <cols>
    <col min="1" max="1" width="37.6640625" bestFit="1" customWidth="1"/>
    <col min="2" max="2" width="84.1640625" bestFit="1" customWidth="1"/>
    <col min="3" max="3" width="54.1640625" bestFit="1" customWidth="1"/>
    <col min="4" max="4" width="13.83203125" bestFit="1" customWidth="1"/>
    <col min="5" max="5" width="71" bestFit="1" customWidth="1"/>
  </cols>
  <sheetData>
    <row r="1" spans="1:5" x14ac:dyDescent="0.3">
      <c r="A1" s="2" t="s">
        <v>3</v>
      </c>
      <c r="B1" s="1" t="s">
        <v>0</v>
      </c>
      <c r="C1" t="s">
        <v>6</v>
      </c>
      <c r="D1" t="s">
        <v>4</v>
      </c>
      <c r="E1" t="s">
        <v>5</v>
      </c>
    </row>
    <row r="2" spans="1:5" x14ac:dyDescent="0.3">
      <c r="A2" t="str">
        <f>Bruno[[#This Row],[Jogos]]</f>
        <v>Universidad Central x Santos</v>
      </c>
      <c r="B2" t="str">
        <f>Bruno[[#This Row],[Placar Final]]</f>
        <v>1x4 (Maicol Ruiz; Bontempo, Gabriel Menino, Thaciano e Rony)</v>
      </c>
      <c r="C2" t="s">
        <v>37</v>
      </c>
      <c r="D2">
        <v>0</v>
      </c>
      <c r="E2" t="s">
        <v>1</v>
      </c>
    </row>
    <row r="3" spans="1:5" x14ac:dyDescent="0.3">
      <c r="A3" t="str">
        <f>Bruno[[#This Row],[Jogos]]</f>
        <v>Independiente Medellín x Vasco</v>
      </c>
      <c r="B3" t="str">
        <f>Bruno[[#This Row],[Placar Final]]</f>
        <v>2x2 (John Montaño e Carlos Cuesta [contra]; Joaquín Varela [contra] e Spinelli)</v>
      </c>
      <c r="C3" t="s">
        <v>42</v>
      </c>
      <c r="D3">
        <v>0</v>
      </c>
      <c r="E3" t="s">
        <v>1</v>
      </c>
    </row>
    <row r="4" spans="1:5" x14ac:dyDescent="0.3">
      <c r="A4" t="str">
        <f>Bruno[[#This Row],[Jogos]]</f>
        <v>Sporting Cristal x Red Bull Bragantino</v>
      </c>
      <c r="B4" t="str">
        <f>Bruno[[#This Row],[Placar Final]]</f>
        <v>0x0</v>
      </c>
      <c r="C4" t="s">
        <v>43</v>
      </c>
      <c r="D4">
        <v>0</v>
      </c>
      <c r="E4" t="s">
        <v>1</v>
      </c>
    </row>
    <row r="5" spans="1:5" x14ac:dyDescent="0.3">
      <c r="A5" t="str">
        <f>Bruno[[#This Row],[Jogos]]</f>
        <v>Bolívar x Grêmio</v>
      </c>
      <c r="B5" t="str">
        <f>Bruno[[#This Row],[Placar Final]]</f>
        <v>3x2 (Cauteruccio, Robson Matheus e Asprilla; Villasanti e Tetê)</v>
      </c>
      <c r="C5" t="s">
        <v>52</v>
      </c>
      <c r="D5">
        <v>3</v>
      </c>
      <c r="E5" t="s">
        <v>59</v>
      </c>
    </row>
    <row r="6" spans="1:5" x14ac:dyDescent="0.3">
      <c r="A6" t="str">
        <f>Bruno[[#This Row],[Jogos]]</f>
        <v>Santos x Universidad Central</v>
      </c>
      <c r="B6" t="str">
        <f>Bruno[[#This Row],[Placar Final]]</f>
        <v>4x2 (Miguelito, Gabriel Barbosa, Gabriel Menino e Rony; Samuel Sosa e Gonzalo Mottes)</v>
      </c>
      <c r="C6" t="s">
        <v>65</v>
      </c>
      <c r="D6">
        <v>7</v>
      </c>
      <c r="E6" t="s">
        <v>66</v>
      </c>
    </row>
    <row r="7" spans="1:5" x14ac:dyDescent="0.3">
      <c r="A7" t="str">
        <f>Bruno[[#This Row],[Jogos]]</f>
        <v>Vasco x Independiente Medellín</v>
      </c>
      <c r="B7" t="str">
        <f>Bruno[[#This Row],[Placar Final]]</f>
        <v>1x0 (Thiago Mendes)</v>
      </c>
      <c r="C7" t="s">
        <v>67</v>
      </c>
      <c r="D7">
        <v>3</v>
      </c>
      <c r="E7" t="s">
        <v>78</v>
      </c>
    </row>
    <row r="8" spans="1:5" x14ac:dyDescent="0.3">
      <c r="A8" t="str">
        <f>Bruno[[#This Row],[Jogos]]</f>
        <v>Red Bull Bragantino x Sporting Cristal</v>
      </c>
      <c r="B8" t="str">
        <f>Bruno[[#This Row],[Placar Final]]</f>
        <v>1x0 (Pedro Henrique)</v>
      </c>
      <c r="C8" t="s">
        <v>68</v>
      </c>
      <c r="D8">
        <v>3</v>
      </c>
      <c r="E8" t="s">
        <v>78</v>
      </c>
    </row>
    <row r="9" spans="1:5" x14ac:dyDescent="0.3">
      <c r="A9" t="str">
        <f>Bruno[[#This Row],[Jogos]]</f>
        <v>Grêmio x Bolívar</v>
      </c>
      <c r="B9" t="str">
        <f>Bruno[[#This Row],[Placar Final]]</f>
        <v>0x1 (Asprilla)</v>
      </c>
      <c r="C9" t="s">
        <v>88</v>
      </c>
      <c r="D9">
        <v>0</v>
      </c>
      <c r="E9" t="s">
        <v>1</v>
      </c>
    </row>
    <row r="10" spans="1:5" x14ac:dyDescent="0.3">
      <c r="A10" t="str">
        <f>Bruno[[#This Row],[Jogos]]</f>
        <v>Fluminense x Independiente Rivadavia</v>
      </c>
      <c r="B10" t="str">
        <f>Bruno[[#This Row],[Placar Final]]</f>
        <v>0x0</v>
      </c>
      <c r="C10" t="s">
        <v>98</v>
      </c>
      <c r="D10">
        <v>1</v>
      </c>
      <c r="E10" t="s">
        <v>41</v>
      </c>
    </row>
    <row r="11" spans="1:5" x14ac:dyDescent="0.3">
      <c r="A11" t="str">
        <f>Bruno[[#This Row],[Jogos]]</f>
        <v>Bolívar x São Paulo</v>
      </c>
      <c r="B11" t="str">
        <f>Bruno[[#This Row],[Placar Final]]</f>
        <v>1x1 (Carlos Melgar; Arboleda)</v>
      </c>
      <c r="C11" t="s">
        <v>101</v>
      </c>
      <c r="D11">
        <v>1</v>
      </c>
      <c r="E11" t="s">
        <v>41</v>
      </c>
    </row>
    <row r="12" spans="1:5" x14ac:dyDescent="0.3">
      <c r="A12" t="str">
        <f>Bruno[[#This Row],[Jogos]]</f>
        <v>Palmeiras x Cerro Porteño</v>
      </c>
      <c r="B12" t="str">
        <f>Bruno[[#This Row],[Placar Final]]</f>
        <v>1x1 (Flaco Lopez; Carlos Miguel [contra])</v>
      </c>
      <c r="C12" t="s">
        <v>1</v>
      </c>
      <c r="D12">
        <v>0</v>
      </c>
      <c r="E12" t="s">
        <v>1</v>
      </c>
    </row>
    <row r="13" spans="1:5" x14ac:dyDescent="0.3">
      <c r="A13" t="str">
        <f>Bruno[[#This Row],[Jogos]]</f>
        <v>Red Bull Bragantino x Atlético-MG</v>
      </c>
      <c r="B13" t="str">
        <f>Bruno[[#This Row],[Placar Final]]</f>
        <v>0x1 (Cuello)</v>
      </c>
      <c r="C13" t="s">
        <v>1</v>
      </c>
      <c r="D13">
        <v>0</v>
      </c>
      <c r="E13" t="s">
        <v>1</v>
      </c>
    </row>
    <row r="14" spans="1:5" x14ac:dyDescent="0.3">
      <c r="A14" t="str">
        <f>Bruno[[#This Row],[Jogos]]</f>
        <v>Cruzeiro x Flamengo</v>
      </c>
      <c r="B14" t="str">
        <f>Bruno[[#This Row],[Placar Final]]</f>
        <v>1x1 (Arroyo; Lucas Paquetá)</v>
      </c>
      <c r="C14" t="s">
        <v>119</v>
      </c>
      <c r="D14">
        <v>0</v>
      </c>
      <c r="E14" t="s">
        <v>1</v>
      </c>
    </row>
    <row r="15" spans="1:5" x14ac:dyDescent="0.3">
      <c r="A15" t="str">
        <f>Bruno[[#This Row],[Jogos]]</f>
        <v>Mirassol x LDU</v>
      </c>
      <c r="B15" t="str">
        <f>Bruno[[#This Row],[Placar Final]]</f>
        <v>1x1 (Eduardo; Michael Estrada)</v>
      </c>
      <c r="C15" t="s">
        <v>131</v>
      </c>
      <c r="D15">
        <v>1</v>
      </c>
      <c r="E15" t="s">
        <v>41</v>
      </c>
    </row>
    <row r="16" spans="1:5" x14ac:dyDescent="0.3">
      <c r="A16" t="str">
        <f>Bruno[[#This Row],[Jogos]]</f>
        <v>Santos x Macará</v>
      </c>
      <c r="B16" t="str">
        <f>Bruno[[#This Row],[Placar Final]]</f>
        <v>2x1 (Gabriel Barbosa e Willian Arão; Franco Posse)</v>
      </c>
      <c r="C16" t="s">
        <v>132</v>
      </c>
      <c r="D16">
        <v>2</v>
      </c>
      <c r="E16" t="s">
        <v>77</v>
      </c>
    </row>
    <row r="17" spans="1:5" x14ac:dyDescent="0.3">
      <c r="A17" t="str">
        <f>Bruno[[#This Row],[Jogos]]</f>
        <v>Vasco x Olimpia</v>
      </c>
      <c r="B17" t="str">
        <f>Bruno[[#This Row],[Placar Final]]</f>
        <v>0x0</v>
      </c>
      <c r="C17" s="9" t="s">
        <v>37</v>
      </c>
      <c r="D17">
        <v>8</v>
      </c>
      <c r="E17" t="s">
        <v>104</v>
      </c>
    </row>
    <row r="18" spans="1:5" x14ac:dyDescent="0.3">
      <c r="A18" t="str">
        <f>Bruno[[#This Row],[Jogos]]</f>
        <v>Rosario Central x Corinthians</v>
      </c>
      <c r="B18" t="str">
        <f>Bruno[[#This Row],[Placar Final]]</f>
        <v>0x0</v>
      </c>
      <c r="C18" t="s">
        <v>133</v>
      </c>
      <c r="D18">
        <v>1</v>
      </c>
      <c r="E18" t="s">
        <v>41</v>
      </c>
    </row>
    <row r="19" spans="1:5" x14ac:dyDescent="0.3">
      <c r="A19" t="str">
        <f>Bruno[[#This Row],[Jogos]]</f>
        <v>Cienciano x Botafogo</v>
      </c>
      <c r="B19" t="str">
        <f>Bruno[[#This Row],[Placar Final]]</f>
        <v>6x1 (Matias Succar 3x, Neri Bandiera 2x e Marcos Martinich; Matheus Martins)</v>
      </c>
      <c r="C19" t="s">
        <v>134</v>
      </c>
      <c r="D19">
        <v>1</v>
      </c>
      <c r="E19" t="s">
        <v>41</v>
      </c>
    </row>
    <row r="20" spans="1:5" x14ac:dyDescent="0.3">
      <c r="A20" t="str">
        <f>Bruno[[#This Row],[Jogos]]</f>
        <v>Independiente Rivadavia x Fluminense</v>
      </c>
      <c r="B20" t="str">
        <f>Bruno[[#This Row],[Placar Final]]</f>
        <v>1(4)x(5)1 (Arce; Serna)</v>
      </c>
      <c r="C20" t="s">
        <v>142</v>
      </c>
      <c r="D20">
        <v>1</v>
      </c>
      <c r="E20" t="s">
        <v>1</v>
      </c>
    </row>
    <row r="21" spans="1:5" x14ac:dyDescent="0.3">
      <c r="A21" t="str">
        <f>Bruno[[#This Row],[Jogos]]</f>
        <v>São Paulo x Bolívar</v>
      </c>
      <c r="B21" t="str">
        <f>Bruno[[#This Row],[Placar Final]]</f>
        <v>3x1 (Luciano, Calleri e Sabino; Asprilla)</v>
      </c>
      <c r="C21" t="s">
        <v>143</v>
      </c>
      <c r="D21">
        <v>0</v>
      </c>
      <c r="E21" t="s">
        <v>41</v>
      </c>
    </row>
    <row r="22" spans="1:5" x14ac:dyDescent="0.3">
      <c r="A22" t="str">
        <f>Bruno[[#This Row],[Jogos]]</f>
        <v>Cerro Porteño x Palmeiras</v>
      </c>
      <c r="B22" t="str">
        <f>Bruno[[#This Row],[Placar Final]]</f>
        <v>0x1 (Gustavo Gomez)</v>
      </c>
      <c r="C22" t="s">
        <v>156</v>
      </c>
      <c r="D22">
        <v>3</v>
      </c>
      <c r="E22" t="s">
        <v>78</v>
      </c>
    </row>
    <row r="23" spans="1:5" x14ac:dyDescent="0.3">
      <c r="A23" t="str">
        <f>Bruno[[#This Row],[Jogos]]</f>
        <v>Atlético-MG x Red Bull Bragantino</v>
      </c>
      <c r="B23" t="str">
        <f>Bruno[[#This Row],[Placar Final]]</f>
        <v>2x2 (Maycon e Cuello; Eric Ramires e Sasha)</v>
      </c>
      <c r="C23" t="s">
        <v>37</v>
      </c>
      <c r="D23">
        <v>2</v>
      </c>
      <c r="E23" t="s">
        <v>166</v>
      </c>
    </row>
    <row r="24" spans="1:5" x14ac:dyDescent="0.3">
      <c r="A24" t="str">
        <f>Bruno[[#This Row],[Jogos]]</f>
        <v>Flamengo x Cruzeiro</v>
      </c>
      <c r="B24" t="str">
        <f>Bruno[[#This Row],[Placar Final]]</f>
        <v>2x1 (Arrascaeta e Samuel Lino; Lucas Romero)</v>
      </c>
      <c r="C24" t="s">
        <v>162</v>
      </c>
      <c r="D24">
        <v>1</v>
      </c>
      <c r="E24" t="s">
        <v>41</v>
      </c>
    </row>
    <row r="25" spans="1:5" x14ac:dyDescent="0.3">
      <c r="A25" t="str">
        <f>Bruno[[#This Row],[Jogos]]</f>
        <v>LDU x Mirassol</v>
      </c>
      <c r="B25" t="str">
        <f>Bruno[[#This Row],[Placar Final]]</f>
        <v>0(5)x(4)0</v>
      </c>
      <c r="C25" t="s">
        <v>170</v>
      </c>
      <c r="D25">
        <v>1</v>
      </c>
      <c r="E25" t="s">
        <v>41</v>
      </c>
    </row>
    <row r="26" spans="1:5" x14ac:dyDescent="0.3">
      <c r="A26" t="str">
        <f>Bruno[[#This Row],[Jogos]]</f>
        <v>Macará x Santos</v>
      </c>
      <c r="B26" t="str">
        <f>Bruno[[#This Row],[Placar Final]]</f>
        <v>0x0</v>
      </c>
      <c r="C26" t="s">
        <v>171</v>
      </c>
      <c r="D26">
        <v>3</v>
      </c>
      <c r="E26" t="s">
        <v>50</v>
      </c>
    </row>
    <row r="27" spans="1:5" x14ac:dyDescent="0.3">
      <c r="A27" t="str">
        <f>Bruno[[#This Row],[Jogos]]</f>
        <v>Olimpia x Vasco</v>
      </c>
      <c r="B27" t="str">
        <f>Bruno[[#This Row],[Placar Final]]</f>
        <v>1x4 (Esteban Matus; Thiago Mendes, David, Adson e Spinelli)</v>
      </c>
      <c r="C27" t="s">
        <v>172</v>
      </c>
      <c r="D27">
        <v>1</v>
      </c>
      <c r="E27" t="s">
        <v>41</v>
      </c>
    </row>
    <row r="28" spans="1:5" x14ac:dyDescent="0.3">
      <c r="A28" t="str">
        <f>Bruno[[#This Row],[Jogos]]</f>
        <v>Corinthians x Rosario Central</v>
      </c>
      <c r="B28" t="str">
        <f>Bruno[[#This Row],[Placar Final]]</f>
        <v>1x0 (Breno Bidon)</v>
      </c>
      <c r="C28" t="s">
        <v>181</v>
      </c>
      <c r="D28">
        <v>0</v>
      </c>
      <c r="E28" t="s">
        <v>1</v>
      </c>
    </row>
    <row r="29" spans="1:5" x14ac:dyDescent="0.3">
      <c r="A29" t="str">
        <f>Bruno[[#This Row],[Jogos]]</f>
        <v>Botafogo x Cienciano</v>
      </c>
      <c r="B29" t="str">
        <f>Bruno[[#This Row],[Placar Final]]</f>
        <v>1x0 (Danilo Pereira)</v>
      </c>
      <c r="C29" t="s">
        <v>182</v>
      </c>
      <c r="D29">
        <v>3</v>
      </c>
      <c r="E29" t="s">
        <v>78</v>
      </c>
    </row>
    <row r="30" spans="1:5" x14ac:dyDescent="0.3">
      <c r="A30" t="str">
        <f>Bruno[[#This Row],[Jogos]]</f>
        <v>Fluminense x Platense</v>
      </c>
      <c r="B30" t="str">
        <f>Bruno[[#This Row],[Placar Final]]</f>
        <v>2x0 (Nonato e Hulk)</v>
      </c>
      <c r="C30" s="9" t="s">
        <v>211</v>
      </c>
      <c r="D30">
        <v>8</v>
      </c>
      <c r="E30" t="s">
        <v>104</v>
      </c>
    </row>
    <row r="31" spans="1:5" x14ac:dyDescent="0.3">
      <c r="A31" t="str">
        <f>Bruno[[#This Row],[Jogos]]</f>
        <v>Independiente Santa Fe x Vasco</v>
      </c>
      <c r="B31" t="str">
        <f>Bruno[[#This Row],[Placar Final]]</f>
        <v>0x0</v>
      </c>
      <c r="C31" s="9" t="s">
        <v>37</v>
      </c>
      <c r="D31">
        <v>8</v>
      </c>
      <c r="E31" t="s">
        <v>104</v>
      </c>
    </row>
    <row r="32" spans="1:5" x14ac:dyDescent="0.3">
      <c r="A32" t="str">
        <f>Bruno[[#This Row],[Jogos]]</f>
        <v>Boca Juniors x São Paulo</v>
      </c>
      <c r="B32" t="str">
        <f>Bruno[[#This Row],[Placar Final]]</f>
        <v>1x0 (Merentiel)</v>
      </c>
      <c r="C32" t="s">
        <v>212</v>
      </c>
      <c r="D32">
        <v>4</v>
      </c>
      <c r="E32" t="s">
        <v>223</v>
      </c>
    </row>
    <row r="33" spans="1:5" x14ac:dyDescent="0.3">
      <c r="A33" t="str">
        <f>Bruno[[#This Row],[Jogos]]</f>
        <v>Palmeiras x LDU</v>
      </c>
      <c r="B33" t="str">
        <f>Bruno[[#This Row],[Placar Final]]</f>
        <v>1x0 (Giay)</v>
      </c>
      <c r="C33" s="9" t="s">
        <v>228</v>
      </c>
      <c r="D33">
        <v>8</v>
      </c>
      <c r="E33" t="s">
        <v>104</v>
      </c>
    </row>
    <row r="34" spans="1:5" x14ac:dyDescent="0.3">
      <c r="A34" t="str">
        <f>Bruno[[#This Row],[Jogos]]</f>
        <v>Santos x Atlético-MG</v>
      </c>
      <c r="B34" t="str">
        <f>Bruno[[#This Row],[Placar Final]]</f>
        <v>2x0 (Willian Arão e Oliva)</v>
      </c>
      <c r="C34" t="s">
        <v>229</v>
      </c>
      <c r="D34">
        <v>3</v>
      </c>
      <c r="E34" t="s">
        <v>78</v>
      </c>
    </row>
    <row r="35" spans="1:5" x14ac:dyDescent="0.3">
      <c r="A35" t="str">
        <f>Bruno[[#This Row],[Jogos]]</f>
        <v>Estudiantes x Corinthians</v>
      </c>
      <c r="B35" t="str">
        <f>Bruno[[#This Row],[Placar Final]]</f>
        <v>1x1 (Alexis Castro; Kaio César)</v>
      </c>
      <c r="C35" t="s">
        <v>230</v>
      </c>
      <c r="D35">
        <v>0</v>
      </c>
      <c r="E35" t="s">
        <v>1</v>
      </c>
    </row>
    <row r="36" spans="1:5" x14ac:dyDescent="0.3">
      <c r="A36" t="str">
        <f>Bruno[[#This Row],[Jogos]]</f>
        <v>Independiente del Valle x Flamengo</v>
      </c>
      <c r="B36" t="str">
        <f>Bruno[[#This Row],[Placar Final]]</f>
        <v>0x2 (Bruno Henrique e Léo Pereira)</v>
      </c>
      <c r="C36" t="s">
        <v>239</v>
      </c>
      <c r="D36">
        <v>0</v>
      </c>
      <c r="E36" t="s">
        <v>1</v>
      </c>
    </row>
    <row r="37" spans="1:5" x14ac:dyDescent="0.3">
      <c r="A37" t="str">
        <f>Bruno[[#This Row],[Jogos]]</f>
        <v>Platense x Fluminense</v>
      </c>
      <c r="B37" t="str">
        <f>Bruno[[#This Row],[Placar Final]]</f>
        <v>2x1 (Guido Mainero e Bruno Sepulveda; Canobbio)</v>
      </c>
      <c r="C37" t="s">
        <v>243</v>
      </c>
      <c r="D37">
        <v>3</v>
      </c>
      <c r="E37" t="s">
        <v>74</v>
      </c>
    </row>
    <row r="38" spans="1:5" x14ac:dyDescent="0.3">
      <c r="A38" t="str">
        <f>Bruno[[#This Row],[Jogos]]</f>
        <v>Vasco x Independiente Santa Fe</v>
      </c>
      <c r="B38" t="str">
        <f>Bruno[[#This Row],[Placar Final]]</f>
        <v>2x0 (Bruno Duarte e David)</v>
      </c>
      <c r="C38" s="9" t="s">
        <v>244</v>
      </c>
      <c r="D38">
        <v>9</v>
      </c>
      <c r="E38" t="s">
        <v>252</v>
      </c>
    </row>
    <row r="39" spans="1:5" x14ac:dyDescent="0.3">
      <c r="A39" t="str">
        <f>Bruno[[#This Row],[Jogos]]</f>
        <v>São Paulo x Boca Juniors</v>
      </c>
      <c r="B39" t="str">
        <f>Bruno[[#This Row],[Placar Final]]</f>
        <v>1x1 (Domingos Duarte; Leandro Lozano)</v>
      </c>
      <c r="C39" t="s">
        <v>37</v>
      </c>
      <c r="D39">
        <v>3</v>
      </c>
      <c r="E39" t="s">
        <v>50</v>
      </c>
    </row>
    <row r="40" spans="1:5" x14ac:dyDescent="0.3">
      <c r="A40" t="str">
        <f>Bruno[[#This Row],[Jogos]]</f>
        <v>LDU x Palmeiras</v>
      </c>
      <c r="B40" t="str">
        <f>Bruno[[#This Row],[Placar Final]]</f>
        <v>19h00</v>
      </c>
      <c r="C40" t="s">
        <v>1</v>
      </c>
      <c r="D40">
        <v>0</v>
      </c>
      <c r="E40" t="s">
        <v>1</v>
      </c>
    </row>
    <row r="41" spans="1:5" x14ac:dyDescent="0.3">
      <c r="A41" t="str">
        <f>Bruno[[#This Row],[Jogos]]</f>
        <v>Atlético-MG x Santos</v>
      </c>
      <c r="B41" t="str">
        <f>Bruno[[#This Row],[Placar Final]]</f>
        <v>19h00</v>
      </c>
      <c r="C41" t="s">
        <v>1</v>
      </c>
      <c r="D41">
        <v>0</v>
      </c>
      <c r="E41" t="s">
        <v>1</v>
      </c>
    </row>
    <row r="42" spans="1:5" x14ac:dyDescent="0.3">
      <c r="A42" t="str">
        <f>Bruno[[#This Row],[Jogos]]</f>
        <v>Corinthians x Estudiantes</v>
      </c>
      <c r="B42" t="str">
        <f>Bruno[[#This Row],[Placar Final]]</f>
        <v>21h30</v>
      </c>
      <c r="C42" t="s">
        <v>1</v>
      </c>
      <c r="D42">
        <v>0</v>
      </c>
      <c r="E42" t="s">
        <v>1</v>
      </c>
    </row>
    <row r="43" spans="1:5" x14ac:dyDescent="0.3">
      <c r="A43" t="str">
        <f>Bruno[[#This Row],[Jogos]]</f>
        <v>Flamengo x Independiente del Valle</v>
      </c>
      <c r="B43" t="str">
        <f>Bruno[[#This Row],[Placar Final]]</f>
        <v>Amanhã - 21h30</v>
      </c>
      <c r="C43" t="s">
        <v>1</v>
      </c>
      <c r="D43">
        <v>0</v>
      </c>
      <c r="E43" t="s">
        <v>1</v>
      </c>
    </row>
    <row r="44" spans="1:5" x14ac:dyDescent="0.3">
      <c r="A44" t="s">
        <v>2</v>
      </c>
      <c r="D44">
        <f>SUBTOTAL(109,Gabriel[Pontuação])</f>
        <v>92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B4488-2C22-4DB4-8DFC-46083E3E9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</vt:lpstr>
      <vt:lpstr>Bruno</vt:lpstr>
      <vt:lpstr>Davi</vt:lpstr>
      <vt:lpstr>Douglas</vt:lpstr>
      <vt:lpstr>Gabriel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Manoel</dc:creator>
  <cp:lastModifiedBy>Douglas Manoel</cp:lastModifiedBy>
  <dcterms:created xsi:type="dcterms:W3CDTF">2026-06-20T22:09:08Z</dcterms:created>
  <dcterms:modified xsi:type="dcterms:W3CDTF">2026-09-16T12:37:32Z</dcterms:modified>
</cp:coreProperties>
</file>