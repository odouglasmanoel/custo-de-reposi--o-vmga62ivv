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las.manoel\Documents\"/>
    </mc:Choice>
  </mc:AlternateContent>
  <xr:revisionPtr revIDLastSave="0" documentId="8_{5E2605B1-523C-4095-9C53-C368762DE74F}" xr6:coauthVersionLast="47" xr6:coauthVersionMax="47" xr10:uidLastSave="{00000000-0000-0000-0000-000000000000}"/>
  <bookViews>
    <workbookView xWindow="20370" yWindow="-120" windowWidth="20640" windowHeight="11160" xr2:uid="{24A7BAF4-38C6-4154-A821-521213786B51}"/>
  </bookViews>
  <sheets>
    <sheet name="Tabela" sheetId="6" r:id="rId1"/>
    <sheet name="Bruno" sheetId="2" r:id="rId2"/>
    <sheet name="Davi" sheetId="3" r:id="rId3"/>
    <sheet name="Douglas" sheetId="4" r:id="rId4"/>
    <sheet name="Gabriel" sheetId="5" r:id="rId5"/>
  </sheets>
  <definedNames>
    <definedName name="_xlcn.WorksheetConnection_BolãodoGrupo.xlsxBruno1" hidden="1">Bruno[]</definedName>
    <definedName name="_xlcn.WorksheetConnection_BolãodoGrupo.xlsxDavi1" hidden="1">Davi[]</definedName>
    <definedName name="_xlcn.WorksheetConnection_BolãodoGrupo.xlsxDouglas1" hidden="1">Douglas[]</definedName>
    <definedName name="_xlcn.WorksheetConnection_BolãodoGrupo.xlsxGabriel1" hidden="1">Gabriel[]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uno" name="Bruno" connection="WorksheetConnection_Bolão do Grupo.xlsx!Bruno"/>
          <x15:modelTable id="Davi" name="Davi" connection="WorksheetConnection_Bolão do Grupo.xlsx!Davi"/>
          <x15:modelTable id="Douglas" name="Douglas" connection="WorksheetConnection_Bolão do Grupo.xlsx!Douglas"/>
          <x15:modelTable id="Gabriel" name="Gabriel" connection="WorksheetConnection_Bolão do Grupo.xlsx!Gabri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4" i="3" l="1"/>
  <c r="B54" i="3"/>
  <c r="C54" i="3"/>
  <c r="A54" i="4"/>
  <c r="B54" i="4"/>
  <c r="C54" i="4"/>
  <c r="A54" i="5"/>
  <c r="B54" i="5"/>
  <c r="C54" i="5"/>
  <c r="A53" i="3"/>
  <c r="B53" i="3"/>
  <c r="C53" i="3"/>
  <c r="A52" i="3"/>
  <c r="B52" i="3"/>
  <c r="C52" i="3"/>
  <c r="A51" i="3"/>
  <c r="B51" i="3"/>
  <c r="C51" i="3"/>
  <c r="A50" i="3"/>
  <c r="B50" i="3"/>
  <c r="C50" i="3"/>
  <c r="A49" i="3"/>
  <c r="B49" i="3"/>
  <c r="C49" i="3"/>
  <c r="A53" i="4"/>
  <c r="B53" i="4"/>
  <c r="C53" i="4"/>
  <c r="A52" i="4"/>
  <c r="B52" i="4"/>
  <c r="C52" i="4"/>
  <c r="A51" i="4"/>
  <c r="B51" i="4"/>
  <c r="C51" i="4"/>
  <c r="A50" i="4"/>
  <c r="B50" i="4"/>
  <c r="C50" i="4"/>
  <c r="A49" i="4"/>
  <c r="B49" i="4"/>
  <c r="C49" i="4"/>
  <c r="A53" i="5"/>
  <c r="B53" i="5"/>
  <c r="C53" i="5"/>
  <c r="A52" i="5"/>
  <c r="B52" i="5"/>
  <c r="C52" i="5"/>
  <c r="A51" i="5"/>
  <c r="B51" i="5"/>
  <c r="C51" i="5"/>
  <c r="A50" i="5"/>
  <c r="B50" i="5"/>
  <c r="C50" i="5"/>
  <c r="A49" i="5"/>
  <c r="B49" i="5"/>
  <c r="C49" i="5"/>
  <c r="A48" i="3"/>
  <c r="B48" i="3"/>
  <c r="C48" i="3"/>
  <c r="A47" i="3"/>
  <c r="B47" i="3"/>
  <c r="C47" i="3"/>
  <c r="A46" i="3"/>
  <c r="B46" i="3"/>
  <c r="C46" i="3"/>
  <c r="A48" i="4"/>
  <c r="B48" i="4"/>
  <c r="C48" i="4"/>
  <c r="A47" i="4"/>
  <c r="B47" i="4"/>
  <c r="C47" i="4"/>
  <c r="A46" i="4"/>
  <c r="B46" i="4"/>
  <c r="C46" i="4"/>
  <c r="A48" i="5"/>
  <c r="B48" i="5"/>
  <c r="C48" i="5"/>
  <c r="A47" i="5"/>
  <c r="B47" i="5"/>
  <c r="C47" i="5"/>
  <c r="A46" i="5"/>
  <c r="B46" i="5"/>
  <c r="C46" i="5"/>
  <c r="A45" i="3"/>
  <c r="B45" i="3"/>
  <c r="C45" i="3"/>
  <c r="A45" i="4"/>
  <c r="B45" i="4"/>
  <c r="C45" i="4"/>
  <c r="A45" i="5"/>
  <c r="B45" i="5"/>
  <c r="C45" i="5"/>
  <c r="A44" i="3"/>
  <c r="B44" i="3"/>
  <c r="C44" i="3"/>
  <c r="A43" i="3"/>
  <c r="B43" i="3"/>
  <c r="C43" i="3"/>
  <c r="A42" i="3"/>
  <c r="B42" i="3"/>
  <c r="C42" i="3"/>
  <c r="A41" i="3"/>
  <c r="B41" i="3"/>
  <c r="C41" i="3"/>
  <c r="A44" i="4"/>
  <c r="B44" i="4"/>
  <c r="C44" i="4"/>
  <c r="A43" i="4"/>
  <c r="B43" i="4"/>
  <c r="C43" i="4"/>
  <c r="A42" i="4"/>
  <c r="B42" i="4"/>
  <c r="C42" i="4"/>
  <c r="A41" i="4"/>
  <c r="B41" i="4"/>
  <c r="C41" i="4"/>
  <c r="A44" i="5"/>
  <c r="B44" i="5"/>
  <c r="C44" i="5"/>
  <c r="A43" i="5"/>
  <c r="B43" i="5"/>
  <c r="C43" i="5"/>
  <c r="A42" i="5"/>
  <c r="B42" i="5"/>
  <c r="C42" i="5"/>
  <c r="A41" i="5"/>
  <c r="B41" i="5"/>
  <c r="C41" i="5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0" i="5"/>
  <c r="B40" i="5"/>
  <c r="C40" i="5"/>
  <c r="A39" i="5"/>
  <c r="B39" i="5"/>
  <c r="C39" i="5"/>
  <c r="A38" i="5"/>
  <c r="B38" i="5"/>
  <c r="C38" i="5"/>
  <c r="A37" i="5"/>
  <c r="B37" i="5"/>
  <c r="C37" i="5"/>
  <c r="A36" i="5"/>
  <c r="B36" i="5"/>
  <c r="C36" i="5"/>
  <c r="A35" i="5"/>
  <c r="B35" i="5"/>
  <c r="C35" i="5"/>
  <c r="A34" i="3"/>
  <c r="B34" i="3"/>
  <c r="C34" i="3"/>
  <c r="A34" i="4"/>
  <c r="B34" i="4"/>
  <c r="C34" i="4"/>
  <c r="A34" i="5"/>
  <c r="B34" i="5"/>
  <c r="C34" i="5"/>
  <c r="A33" i="3"/>
  <c r="B33" i="3"/>
  <c r="C33" i="3"/>
  <c r="A32" i="3"/>
  <c r="B32" i="3"/>
  <c r="C32" i="3"/>
  <c r="A33" i="4"/>
  <c r="B33" i="4"/>
  <c r="C33" i="4"/>
  <c r="A32" i="4"/>
  <c r="B32" i="4"/>
  <c r="C32" i="4"/>
  <c r="A33" i="5"/>
  <c r="B33" i="5"/>
  <c r="C33" i="5"/>
  <c r="A32" i="5"/>
  <c r="B32" i="5"/>
  <c r="C32" i="5"/>
  <c r="A31" i="3"/>
  <c r="B31" i="3"/>
  <c r="C31" i="3"/>
  <c r="A31" i="4"/>
  <c r="B31" i="4"/>
  <c r="C31" i="4"/>
  <c r="A31" i="5"/>
  <c r="B31" i="5"/>
  <c r="C31" i="5"/>
  <c r="A30" i="3"/>
  <c r="B30" i="3"/>
  <c r="C30" i="3"/>
  <c r="A29" i="3"/>
  <c r="B29" i="3"/>
  <c r="C29" i="3"/>
  <c r="A28" i="3"/>
  <c r="B28" i="3"/>
  <c r="C28" i="3"/>
  <c r="E55" i="3"/>
  <c r="C3" i="6"/>
  <c r="A27" i="3"/>
  <c r="B27" i="3"/>
  <c r="C27" i="3"/>
  <c r="A30" i="4"/>
  <c r="B30" i="4"/>
  <c r="C30" i="4"/>
  <c r="A29" i="4"/>
  <c r="B29" i="4"/>
  <c r="C29" i="4"/>
  <c r="A28" i="4"/>
  <c r="B28" i="4"/>
  <c r="C28" i="4"/>
  <c r="A27" i="4"/>
  <c r="B27" i="4"/>
  <c r="C27" i="4"/>
  <c r="A30" i="5"/>
  <c r="B30" i="5"/>
  <c r="C30" i="5"/>
  <c r="A29" i="5"/>
  <c r="B29" i="5"/>
  <c r="C29" i="5"/>
  <c r="A28" i="5"/>
  <c r="B28" i="5"/>
  <c r="C28" i="5"/>
  <c r="A27" i="5"/>
  <c r="B27" i="5"/>
  <c r="C27" i="5"/>
  <c r="A26" i="3"/>
  <c r="B26" i="3"/>
  <c r="C26" i="3"/>
  <c r="A26" i="4"/>
  <c r="B26" i="4"/>
  <c r="C26" i="4"/>
  <c r="A26" i="5"/>
  <c r="B26" i="5"/>
  <c r="C26" i="5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C16" i="4"/>
  <c r="A18" i="3"/>
  <c r="B18" i="3"/>
  <c r="C18" i="3"/>
  <c r="A17" i="3"/>
  <c r="B17" i="3"/>
  <c r="C17" i="3"/>
  <c r="A18" i="4"/>
  <c r="B18" i="4"/>
  <c r="C18" i="4"/>
  <c r="A17" i="4"/>
  <c r="B17" i="4"/>
  <c r="C17" i="4"/>
  <c r="A18" i="5"/>
  <c r="B18" i="5"/>
  <c r="C18" i="5"/>
  <c r="A17" i="5"/>
  <c r="B17" i="5"/>
  <c r="C17" i="5"/>
  <c r="A16" i="3"/>
  <c r="B16" i="3"/>
  <c r="C16" i="3"/>
  <c r="A15" i="3"/>
  <c r="B15" i="3"/>
  <c r="C15" i="3"/>
  <c r="A16" i="4"/>
  <c r="B16" i="4"/>
  <c r="A15" i="4"/>
  <c r="B15" i="4"/>
  <c r="C15" i="4"/>
  <c r="A16" i="5"/>
  <c r="B16" i="5"/>
  <c r="C16" i="5"/>
  <c r="A15" i="5"/>
  <c r="B15" i="5"/>
  <c r="C15" i="5"/>
  <c r="A14" i="3"/>
  <c r="B14" i="3"/>
  <c r="C14" i="3"/>
  <c r="A14" i="4"/>
  <c r="B14" i="4"/>
  <c r="C14" i="4"/>
  <c r="A14" i="5"/>
  <c r="B14" i="5"/>
  <c r="C14" i="5"/>
  <c r="A13" i="3"/>
  <c r="B13" i="3"/>
  <c r="C13" i="3"/>
  <c r="A13" i="4"/>
  <c r="B13" i="4"/>
  <c r="C13" i="4"/>
  <c r="A13" i="5"/>
  <c r="B13" i="5"/>
  <c r="C13" i="5"/>
  <c r="A12" i="5"/>
  <c r="B12" i="5"/>
  <c r="C12" i="5"/>
  <c r="A11" i="5"/>
  <c r="B11" i="5"/>
  <c r="C11" i="5"/>
  <c r="A12" i="4"/>
  <c r="B12" i="4"/>
  <c r="C12" i="4"/>
  <c r="A11" i="4"/>
  <c r="B11" i="4"/>
  <c r="C11" i="4"/>
  <c r="A12" i="3"/>
  <c r="B12" i="3"/>
  <c r="C12" i="3"/>
  <c r="A11" i="3"/>
  <c r="B11" i="3"/>
  <c r="C11" i="3"/>
  <c r="B7" i="4"/>
  <c r="A10" i="3"/>
  <c r="B10" i="3"/>
  <c r="C10" i="3"/>
  <c r="A9" i="3"/>
  <c r="B9" i="3"/>
  <c r="C9" i="3"/>
  <c r="A8" i="3"/>
  <c r="B8" i="3"/>
  <c r="C8" i="3"/>
  <c r="A7" i="3"/>
  <c r="B7" i="3"/>
  <c r="C7" i="3"/>
  <c r="A10" i="4"/>
  <c r="B10" i="4"/>
  <c r="C10" i="4"/>
  <c r="A9" i="4"/>
  <c r="B9" i="4"/>
  <c r="C9" i="4"/>
  <c r="A8" i="4"/>
  <c r="B8" i="4"/>
  <c r="C8" i="4"/>
  <c r="A7" i="4"/>
  <c r="C7" i="4"/>
  <c r="A10" i="5"/>
  <c r="B10" i="5"/>
  <c r="C10" i="5"/>
  <c r="A9" i="5"/>
  <c r="B9" i="5"/>
  <c r="C9" i="5"/>
  <c r="A8" i="5"/>
  <c r="B8" i="5"/>
  <c r="C8" i="5"/>
  <c r="A7" i="5"/>
  <c r="B7" i="5"/>
  <c r="C7" i="5"/>
  <c r="A6" i="3"/>
  <c r="B6" i="3"/>
  <c r="C6" i="3"/>
  <c r="A5" i="3"/>
  <c r="B5" i="3"/>
  <c r="C5" i="3"/>
  <c r="A4" i="3"/>
  <c r="B4" i="3"/>
  <c r="C4" i="3"/>
  <c r="A3" i="3"/>
  <c r="B3" i="3"/>
  <c r="C3" i="3"/>
  <c r="A6" i="4"/>
  <c r="B6" i="4"/>
  <c r="C6" i="4"/>
  <c r="A5" i="4"/>
  <c r="B5" i="4"/>
  <c r="C5" i="4"/>
  <c r="A4" i="4"/>
  <c r="B4" i="4"/>
  <c r="C4" i="4"/>
  <c r="A3" i="4"/>
  <c r="B3" i="4"/>
  <c r="C3" i="4"/>
  <c r="A6" i="5"/>
  <c r="B6" i="5"/>
  <c r="C6" i="5"/>
  <c r="A5" i="5"/>
  <c r="B5" i="5"/>
  <c r="C5" i="5"/>
  <c r="A4" i="5"/>
  <c r="B4" i="5"/>
  <c r="C4" i="5"/>
  <c r="A3" i="5"/>
  <c r="B3" i="5"/>
  <c r="C3" i="5"/>
  <c r="B2" i="3"/>
  <c r="B2" i="4"/>
  <c r="B2" i="5"/>
  <c r="A2" i="5"/>
  <c r="A2" i="4"/>
  <c r="A2" i="3"/>
  <c r="C2" i="5"/>
  <c r="C2" i="4"/>
  <c r="C2" i="3"/>
  <c r="E55" i="5"/>
  <c r="C4" i="6"/>
  <c r="E55" i="4"/>
  <c r="C2" i="6"/>
  <c r="E55" i="2"/>
  <c r="C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Bolão do Grupo.xlsx!Bruno" type="102" refreshedVersion="8" minRefreshableVersion="5">
    <extLst>
      <ext xmlns:x15="http://schemas.microsoft.com/office/spreadsheetml/2010/11/main" uri="{DE250136-89BD-433C-8126-D09CA5730AF9}">
        <x15:connection id="Bruno" autoDelete="1">
          <x15:rangePr sourceName="_xlcn.WorksheetConnection_BolãodoGrupo.xlsxBruno1"/>
        </x15:connection>
      </ext>
    </extLst>
  </connection>
  <connection id="3" xr16:uid="{00000000-0015-0000-FFFF-FFFF02000000}" name="WorksheetConnection_Bolão do Grupo.xlsx!Davi" type="102" refreshedVersion="8" minRefreshableVersion="5">
    <extLst>
      <ext xmlns:x15="http://schemas.microsoft.com/office/spreadsheetml/2010/11/main" uri="{DE250136-89BD-433C-8126-D09CA5730AF9}">
        <x15:connection id="Davi">
          <x15:rangePr sourceName="_xlcn.WorksheetConnection_BolãodoGrupo.xlsxDavi1"/>
        </x15:connection>
      </ext>
    </extLst>
  </connection>
  <connection id="4" xr16:uid="{00000000-0015-0000-FFFF-FFFF03000000}" name="WorksheetConnection_Bolão do Grupo.xlsx!Douglas" type="102" refreshedVersion="8" minRefreshableVersion="5">
    <extLst>
      <ext xmlns:x15="http://schemas.microsoft.com/office/spreadsheetml/2010/11/main" uri="{DE250136-89BD-433C-8126-D09CA5730AF9}">
        <x15:connection id="Douglas">
          <x15:rangePr sourceName="_xlcn.WorksheetConnection_BolãodoGrupo.xlsxDouglas1"/>
        </x15:connection>
      </ext>
    </extLst>
  </connection>
  <connection id="5" xr16:uid="{00000000-0015-0000-FFFF-FFFF04000000}" name="WorksheetConnection_Bolão do Grupo.xlsx!Gabriel" type="102" refreshedVersion="8" minRefreshableVersion="5">
    <extLst>
      <ext xmlns:x15="http://schemas.microsoft.com/office/spreadsheetml/2010/11/main" uri="{DE250136-89BD-433C-8126-D09CA5730AF9}">
        <x15:connection id="Gabriel">
          <x15:rangePr sourceName="_xlcn.WorksheetConnection_BolãodoGrupo.xlsxGabriel1"/>
        </x15:connection>
      </ext>
    </extLst>
  </connection>
</connections>
</file>

<file path=xl/sharedStrings.xml><?xml version="1.0" encoding="utf-8"?>
<sst xmlns="http://schemas.openxmlformats.org/spreadsheetml/2006/main" count="624" uniqueCount="363">
  <si>
    <t>Posição</t>
  </si>
  <si>
    <t>Participante</t>
  </si>
  <si>
    <t>Pontuação Total</t>
  </si>
  <si>
    <t>1º</t>
  </si>
  <si>
    <t>Davi</t>
  </si>
  <si>
    <t>2º</t>
  </si>
  <si>
    <t>Gabriel</t>
  </si>
  <si>
    <t>3º</t>
  </si>
  <si>
    <t>Douglas</t>
  </si>
  <si>
    <t>4º</t>
  </si>
  <si>
    <t>Bruno</t>
  </si>
  <si>
    <t>Última Atualização</t>
  </si>
  <si>
    <t>Jogos</t>
  </si>
  <si>
    <t>Competição</t>
  </si>
  <si>
    <t>Placar Final</t>
  </si>
  <si>
    <t>Palpites</t>
  </si>
  <si>
    <t>Pontuação</t>
  </si>
  <si>
    <t>Detalhamento da Pontuação</t>
  </si>
  <si>
    <t>Internacional x Cruzeiro</t>
  </si>
  <si>
    <t>Brasileirão (19ª rodada)</t>
  </si>
  <si>
    <t>1x2 (Carbonero; Kaio Jorge e Matheus Pereira)</t>
  </si>
  <si>
    <t>2x1 (Vitinho e Bernabei; Kaio Jorge)</t>
  </si>
  <si>
    <t>Gol do Kaio Jorge</t>
  </si>
  <si>
    <t>Cruzeiro x Botafogo</t>
  </si>
  <si>
    <t>Brasileirão (20ª rodada)</t>
  </si>
  <si>
    <t>0x1 (Gabriel Justino)</t>
  </si>
  <si>
    <t>2x1 (Kaio Jorge e Bruno Rodrigues; Arthur Cabral)</t>
  </si>
  <si>
    <t>Metade do Placar</t>
  </si>
  <si>
    <t>Grêmio x Fluminense</t>
  </si>
  <si>
    <t>1x1 (Diego Caito; Hulk)</t>
  </si>
  <si>
    <t>0x2 (Hulk e Canobbio)</t>
  </si>
  <si>
    <t>Gol do Hulk</t>
  </si>
  <si>
    <t>Flamengo x São Paulo</t>
  </si>
  <si>
    <t>1x1 (Léo Pereira; Calleri)</t>
  </si>
  <si>
    <t>2x1 (Bruno Henrique e Pedro; Calleri)</t>
  </si>
  <si>
    <t>Metade do Placar e gol do Calleri</t>
  </si>
  <si>
    <t>Palmeiras x Atlético-MG</t>
  </si>
  <si>
    <t>1x2 (Felipe Anderson; Victor Hugo e Igor Gomes)</t>
  </si>
  <si>
    <t>-</t>
  </si>
  <si>
    <t>Mirassol x Remo</t>
  </si>
  <si>
    <t>Brasileirão (21ª rodada)</t>
  </si>
  <si>
    <t>2x1 (Marllon [contra] e João Victor; Leonel Picco)</t>
  </si>
  <si>
    <t>1x0 (Bruno Santos)</t>
  </si>
  <si>
    <t>Vencedor e Diferença de Gols</t>
  </si>
  <si>
    <t>Fluminense x Bahia</t>
  </si>
  <si>
    <t>0x0</t>
  </si>
  <si>
    <t>Vitória x Palmeiras</t>
  </si>
  <si>
    <t>0x4 (Maurício, Fabiano [contra], Jhon Arias e Sosa)</t>
  </si>
  <si>
    <t>Corinthians x Athletico</t>
  </si>
  <si>
    <t>0x2 (Mendoza e Viveros)</t>
  </si>
  <si>
    <t>Botafogo x Fluminense</t>
  </si>
  <si>
    <t>Brasileirão (22ª rodada)</t>
  </si>
  <si>
    <t>1x1 (Alex Telles; Ignácio)</t>
  </si>
  <si>
    <t>PSG x Aston Villa</t>
  </si>
  <si>
    <t>Supercopa da UEFA</t>
  </si>
  <si>
    <t>2x1 (Kvaratskhelia e Doué; Madjo)</t>
  </si>
  <si>
    <t>0x1 (Pau Torres)</t>
  </si>
  <si>
    <t>Sevilla x Rayo Vallecano</t>
  </si>
  <si>
    <t>Espanhol (1ª rodada)</t>
  </si>
  <si>
    <t>2x1 (Jon Guridi e Gerard Fernández; Alvaro Garcia)</t>
  </si>
  <si>
    <t>Juventude x Fortaleza</t>
  </si>
  <si>
    <t>Brasileirão B (22ª rodada)</t>
  </si>
  <si>
    <t>1x1 (MP; Welliton)</t>
  </si>
  <si>
    <t>Empate e Diferença de Gols</t>
  </si>
  <si>
    <t>Arsenal x Manchester City</t>
  </si>
  <si>
    <t>Supercopa Inglesa</t>
  </si>
  <si>
    <t>3x0 (Calafiori, Havertz e Odegaard)</t>
  </si>
  <si>
    <t>Lens x PSG</t>
  </si>
  <si>
    <t>Supercopa Francesa</t>
  </si>
  <si>
    <t>1x0 (Thauvin)</t>
  </si>
  <si>
    <t>Atlético-MG x Grêmio</t>
  </si>
  <si>
    <t>Brasileirão (23ª rodada)</t>
  </si>
  <si>
    <t>1x2 (Alerrandro; Matheus Pereira e Kaio Jorge)</t>
  </si>
  <si>
    <t>Placar Exato e gols de Kaio Jorge e Matheus Pereira</t>
  </si>
  <si>
    <t>1x0 (Kaio Jorge)</t>
  </si>
  <si>
    <t>1x2 (Carlos Vinicius; Savarino e Serna)</t>
  </si>
  <si>
    <t>2x1 (Pedro 2x; Calleri)</t>
  </si>
  <si>
    <t>2x1 (Maurício e Jhon Arias; Ruan)</t>
  </si>
  <si>
    <t>1x1 (Gustavo Mosquivo; Gabriel Taliari)</t>
  </si>
  <si>
    <t>2x0 (Canobbio e Freytes)</t>
  </si>
  <si>
    <t>0x1 (Maurício)</t>
  </si>
  <si>
    <t>Vencedor, Metade do Placar e gol do Maurício</t>
  </si>
  <si>
    <t>2x1</t>
  </si>
  <si>
    <t>2x1 (Kvaratskhelia e Akliouche; Maatsen)</t>
  </si>
  <si>
    <t>Placar Exato e gol do Kvaratskhelia</t>
  </si>
  <si>
    <t>2x1 (Isaac Romero e Jon Guridi; Randy Nteka)</t>
  </si>
  <si>
    <t>Placar Exato e gol do Jon Guridi</t>
  </si>
  <si>
    <t>2x1 (MP e Lucas Mineiro; Nathan Fogaça)</t>
  </si>
  <si>
    <t>1x2 (Havertz; Haaland e Gvardiol)</t>
  </si>
  <si>
    <t>Gol do Havertz</t>
  </si>
  <si>
    <t>1x3 (Thauvin; Kvaratskhelia, Doué e Vitinha)</t>
  </si>
  <si>
    <t>Metade do Placar e gol do Thauvin</t>
  </si>
  <si>
    <t>1x1 (Cuello; Carlos Vinicius)</t>
  </si>
  <si>
    <t>3x2 (Vitinho, Alerrandro e Bernabei; Gabriel Pec e Kaio Jorge)</t>
  </si>
  <si>
    <t>Metade do Placar e gol do Kaio Jorge</t>
  </si>
  <si>
    <t>3x1 (Kaio Jorge, Bruno Rodrigues e Sinisterra; Arthur Cabral)</t>
  </si>
  <si>
    <t>2x2 (Carlos Vinicius e Amuzu; Hulk e Savarino)</t>
  </si>
  <si>
    <t>Empate e gol do Hulk</t>
  </si>
  <si>
    <t>3x0 (Pedro, Bruno Henrique e Jorginho)</t>
  </si>
  <si>
    <t>2x0 (Vitor Roque e Paulinho)</t>
  </si>
  <si>
    <t>3x2 (Edson Carioca, Gustavo Mosquito e Reinaldo; Alef Manga e Gabriel Taliari)</t>
  </si>
  <si>
    <t>3x1 (Hulk 2x e Lucho Acosta; Alejo Véliz)</t>
  </si>
  <si>
    <t>1x2 (Matheuzinho; Barboza e Sosa)</t>
  </si>
  <si>
    <t>Vencedor e gol do Sosa</t>
  </si>
  <si>
    <t>2x0 (Lingard e Zakaria Labyad)</t>
  </si>
  <si>
    <t>2x2 (Alex Telles e Arthur Cabral; Castillo e Ganso)</t>
  </si>
  <si>
    <t>Empate, Diferença de Gols e gol do Alex Telles</t>
  </si>
  <si>
    <t>3x1 (Kvaratskhelia, Hakimi e Barcola; Tammy Abraham)</t>
  </si>
  <si>
    <t>Vencedor, Metade do Placar e gol do Kvaratskhelia</t>
  </si>
  <si>
    <t>2x2 (MP e Marcos Paulo; Welliton e Rodriguinho)</t>
  </si>
  <si>
    <t>1x3 (Havertz; Haaland 2x e O'Reilly)</t>
  </si>
  <si>
    <t>1x2 (Thauvin; Kvaratskhelia e Marquinhos)</t>
  </si>
  <si>
    <t>2x1 (Cassierra e Ruan; Carlos Vinicius)</t>
  </si>
  <si>
    <t>1x1 (Bernabei; Kaio Jorge)</t>
  </si>
  <si>
    <t>2x1 (Kaio Jorge e Fabrício Bruno; Danilo)</t>
  </si>
  <si>
    <t>1x2 (Willian; Soteldo e Savarino)</t>
  </si>
  <si>
    <t>3x0 (Léo Pereira, Pedro e Samuel Lino)</t>
  </si>
  <si>
    <t>Gol do Léo Pereira</t>
  </si>
  <si>
    <t>3x0 (Paulinho, Jhon Arias e Gustavo Gomez)</t>
  </si>
  <si>
    <t>1x0 (Reinaldo)</t>
  </si>
  <si>
    <t>1x2 (Gustavo Henrique; Viveros e Mendoza)</t>
  </si>
  <si>
    <t>1x1 (Danilo; Canobbio)</t>
  </si>
  <si>
    <t>Placar Exato</t>
  </si>
  <si>
    <t>2x0 (Doué e Dembelé)</t>
  </si>
  <si>
    <t>Vencedor, Metade do Placar e gol do Doué</t>
  </si>
  <si>
    <t>1x0 (Merino)</t>
  </si>
  <si>
    <t>Vencedor e Metade do Placar</t>
  </si>
  <si>
    <t>1x3 (Édouard; Dembelé, Kvaratskhelia e Doué)</t>
  </si>
  <si>
    <t>2x0 (Bernard e Vitor Hugo)</t>
  </si>
  <si>
    <t>Vencedor, Metade do Placar e gol do Vitor Hugo</t>
  </si>
  <si>
    <t>3x0 (Vitor Hugo e Cuello 2x)</t>
  </si>
  <si>
    <t>Gol do Cuello</t>
  </si>
  <si>
    <t>Vencedor</t>
  </si>
  <si>
    <t>Arsenal x Coventry City</t>
  </si>
  <si>
    <t>Premier League (1ª rodada)</t>
  </si>
  <si>
    <t>Cruzeiro x Flamengo</t>
  </si>
  <si>
    <t>Vitória x Bahia</t>
  </si>
  <si>
    <t>Criciúma x Fortaleza</t>
  </si>
  <si>
    <t>Brasileirão (24ª rodada)</t>
  </si>
  <si>
    <t>Brasileirão B (24ª rodada)</t>
  </si>
  <si>
    <t>Newcastle x Liverpool</t>
  </si>
  <si>
    <t>Fulham x Chelsea</t>
  </si>
  <si>
    <t>Uberlândia x ABC</t>
  </si>
  <si>
    <t>Brasileirão D (Semifinal)</t>
  </si>
  <si>
    <t>ASA x Gama</t>
  </si>
  <si>
    <t>2x1 (Havertz e Rice; Simms)</t>
  </si>
  <si>
    <t>4x0 (Havertz, Tzolis, Gabriel Magalhães e Merino)</t>
  </si>
  <si>
    <t>3x0 (Gyokeres, Saka e Eze)</t>
  </si>
  <si>
    <t>3x0 (Havertz, Saka e Rice)</t>
  </si>
  <si>
    <t>3x0 (Havertz, Saka e Odegaard)</t>
  </si>
  <si>
    <t>Placar Exato e gols de Havertz e Saka</t>
  </si>
  <si>
    <t>Placar Exato e gol do Saka</t>
  </si>
  <si>
    <t>Vencedor e gol do Havertz</t>
  </si>
  <si>
    <t>Vencedor, Metade do Placar e gol do Havertz</t>
  </si>
  <si>
    <t>1x2 (Kaio Jorge; Pedro e Arrascaeta)</t>
  </si>
  <si>
    <t>1x0 (Marcos Calazans)</t>
  </si>
  <si>
    <t>1x2 (Thomas Bastos; Igor Bahia e Rikelmi)</t>
  </si>
  <si>
    <t>2x1 (Thomas Bastos e Max Miller; Luiz Fernando)</t>
  </si>
  <si>
    <t>1x0 (Pablo Thomaz)</t>
  </si>
  <si>
    <t>0x2 (Pedro e Arrascaeta)</t>
  </si>
  <si>
    <t>2x1 (Arroyo e Matheus Pereira; Pedro)</t>
  </si>
  <si>
    <t>Gol do Pedro</t>
  </si>
  <si>
    <t>1x3 (Wissa; Isak, Gakpo e Van Dijk)</t>
  </si>
  <si>
    <t>1x1 (Elanga; Isak)</t>
  </si>
  <si>
    <t>1x2 (Barnes; Isak e Szoboszlai)</t>
  </si>
  <si>
    <t>2x2 (Elanga e Willock; Gakpo e Szoboszlai)</t>
  </si>
  <si>
    <t>Metade do Placar e gol do Szoboszlai</t>
  </si>
  <si>
    <t>Gol do Gakpo</t>
  </si>
  <si>
    <t>Empate, Diferença de Gols e gol do Elanga</t>
  </si>
  <si>
    <t>1x1 (Erick; Erick Pulga)</t>
  </si>
  <si>
    <t>1x0 (Erick)</t>
  </si>
  <si>
    <t>2x1 (Renê e Cacá; Luciano Juba)</t>
  </si>
  <si>
    <t>2x1 (Michel Douglas e Danilo Mendes; Henrique Almeida)</t>
  </si>
  <si>
    <t>1x0 (Gustavo Ramos)</t>
  </si>
  <si>
    <t>1x0 (Otero)</t>
  </si>
  <si>
    <t>0x2 (Alejo Véliz e Jean Lucas)</t>
  </si>
  <si>
    <t>1x0 (Ruan)</t>
  </si>
  <si>
    <t>1x1 (Fellipe Mateus; Miritello)</t>
  </si>
  <si>
    <t>2x0 (Motta e Sammuel)</t>
  </si>
  <si>
    <t>0x2 (Pedro Henrique e Paulo Baya)</t>
  </si>
  <si>
    <t>2x2 (Iwobi e Gonzalo Garcia; Palmer e João Pedro</t>
  </si>
  <si>
    <t>1x3 (Iwobi; João Pedro, Palmer e Rogers)</t>
  </si>
  <si>
    <t>2x1 (Gonzalo Garcia e Kevin; Estêvão)</t>
  </si>
  <si>
    <t>2x3 (King e Gonzalo Garcia; João Pedro, Rogers e Palmer)</t>
  </si>
  <si>
    <t>Metade do Placar e gol do Gonzalo Garcia</t>
  </si>
  <si>
    <t>Metade do Placar e gols de João Pedro, Palmer e Gonzalo Garcia</t>
  </si>
  <si>
    <t>Vencedor, Metade do Placar e gols de João Pedro, Rogers e Palmer</t>
  </si>
  <si>
    <t>Tottenham x Newcastle</t>
  </si>
  <si>
    <t>Premier League (2ª rodada)</t>
  </si>
  <si>
    <t>0x2 (Elanga e Wissa)</t>
  </si>
  <si>
    <t>2x0 (Xavi Simons e Savinho)</t>
  </si>
  <si>
    <t>2x1 (Marmoush e Pedro Porro; Wissa)</t>
  </si>
  <si>
    <t>Gol do Wissa</t>
  </si>
  <si>
    <t>2x2 (Solanke e Van de Ven; Barnes e Elanga)</t>
  </si>
  <si>
    <t>Metade do Placar e gol do Elanga</t>
  </si>
  <si>
    <t>Brasileirão (25ª rodada)</t>
  </si>
  <si>
    <t>Flamengo x Botafogo</t>
  </si>
  <si>
    <t>Corinthians x Santos</t>
  </si>
  <si>
    <t>Gama x ASA</t>
  </si>
  <si>
    <t>ABC x Uberlândia</t>
  </si>
  <si>
    <t>1x1 (Pedro; Danilo)</t>
  </si>
  <si>
    <t>2x0 (Memphis Depay e Rodrigo Garro)</t>
  </si>
  <si>
    <t>1x0 (Kennedy)</t>
  </si>
  <si>
    <t>3x1 (Memphis Depay, Gustavo Henrique e Kaio César; Gabriel Barbosa)</t>
  </si>
  <si>
    <t>3x0 (Pedro, Samuel Lino e Léo Pereira)</t>
  </si>
  <si>
    <t>2x0, ASA passa (Henrique Almeida e Willian Jr.)</t>
  </si>
  <si>
    <t>2x1 (Pedro e Arrascaeta; Edenilson)</t>
  </si>
  <si>
    <t>1x0 (Memphis Depay)</t>
  </si>
  <si>
    <t>1x1 (Henrique Almeida; Gustavo Ramos)</t>
  </si>
  <si>
    <t>0x1 (Oliva)</t>
  </si>
  <si>
    <t>3x0 (Samuel Lino 2x e Carrascal)</t>
  </si>
  <si>
    <t>Placar Exato e gol do Samuel Lino</t>
  </si>
  <si>
    <t>1x1 (Igor Bahia; Da Silva)</t>
  </si>
  <si>
    <t>2x1, ABC passa (Igor Bahia e Rikelmi; Evanderson)</t>
  </si>
  <si>
    <t>1x1 (Jhosefer; Tomas Bastos)</t>
  </si>
  <si>
    <t>Remo x Coritiba</t>
  </si>
  <si>
    <t>2x3 (Zé Ricardo e Yago Pikachu; Zé Welison [contra], Fabinho e Pedro Rocha)</t>
  </si>
  <si>
    <t>1x2 (Galeano; Pedro Rocha e Breno Lopes)</t>
  </si>
  <si>
    <t>Vencedor, Diferença de Gols e gol do Pedro Rocha</t>
  </si>
  <si>
    <t>1x0 (Gabriel Taliari)</t>
  </si>
  <si>
    <t>2x2 (Yago Pikachu e Gabriel Taliari; Breno Lopes e Pedro Rocha)</t>
  </si>
  <si>
    <t>Metade do Placar e gols de Yago Pikachu e Pedro Rocha</t>
  </si>
  <si>
    <t>Real Bétis x Real Madrid</t>
  </si>
  <si>
    <t>PSG X Mônaco</t>
  </si>
  <si>
    <t>Espanhol (4ª rodada)</t>
  </si>
  <si>
    <t>Francês (3ª rodada)</t>
  </si>
  <si>
    <t>1x2 (Marquinhos; Nazinho e Idumbo)</t>
  </si>
  <si>
    <t>1x0 (Troy Parrott)</t>
  </si>
  <si>
    <t>1x3 (Cucho Hernandez; Mbappé, Vini Jr. e Bellingham)</t>
  </si>
  <si>
    <t>2x1 (Kvaratskhelia e Ferran Torres; Brunner)</t>
  </si>
  <si>
    <t>1x3 (Fornals; Mbappé 2x e Vini Jr.)</t>
  </si>
  <si>
    <t>2x0 (Dembelé e Kvaratskhelia)</t>
  </si>
  <si>
    <t>1x4 (Antony; Mbappé 2x, Dumfries e Vini Jr.)</t>
  </si>
  <si>
    <t>3x1 (Hakimi, Dembelé e Kvaratskhelia; Eric Dier)</t>
  </si>
  <si>
    <t>Red Bull Bragantino x Bahia</t>
  </si>
  <si>
    <t>Brasileirão (26ª rodada)</t>
  </si>
  <si>
    <t>1x0 (Lucas Barbosa)</t>
  </si>
  <si>
    <t>1x1 (Gustavo Marques; Rodrigo Nestor)</t>
  </si>
  <si>
    <t>2x2 (Juninho Capixaba e Wallace Yan; Luciano Juba e Erick)</t>
  </si>
  <si>
    <t>2x3 (Lucas Barbosa e Ramos Mingo [contra]; Luciano Juba, Alejo Véliz e Erick)</t>
  </si>
  <si>
    <t>Gol do Lucas Barbosa</t>
  </si>
  <si>
    <t>Metade do Placar e gols de Luciano Juba e Erick</t>
  </si>
  <si>
    <t>Fluminense x Vasco</t>
  </si>
  <si>
    <t>Arsenal x Chelsea</t>
  </si>
  <si>
    <t>Juventus x Milan</t>
  </si>
  <si>
    <t>Cruzeiro x Athletico</t>
  </si>
  <si>
    <t>ASA x Uberlândia</t>
  </si>
  <si>
    <t>Botafogo x Palmeiras</t>
  </si>
  <si>
    <t>Premier League (3ª rodada)</t>
  </si>
  <si>
    <t>Serie A TIM (3ª rodada)</t>
  </si>
  <si>
    <t>Brasileirão D (Final)</t>
  </si>
  <si>
    <t>1x0 (Lucho Acosta)</t>
  </si>
  <si>
    <t>1x1 (Canobbio; Thiago Mendes)</t>
  </si>
  <si>
    <t>3x1 (Saka, Havertz e Merino; Estêvão)</t>
  </si>
  <si>
    <t>2x3 (Canobbio e Hulk; Paulo Henrique, Thiago Mendes e Andrés Gómez)</t>
  </si>
  <si>
    <t>2x1 (Hulk e Guga; Lucas Piton)</t>
  </si>
  <si>
    <t>1x1 (Havertz; João Pedro)</t>
  </si>
  <si>
    <t>2x1 (Havertz e Calafiori; Rogers)</t>
  </si>
  <si>
    <t>2x2 (Gabriel Magalhães e Havertz; João Pedro e Palmer)</t>
  </si>
  <si>
    <t>2x1 (Havertz e Odegaard; Rogers)</t>
  </si>
  <si>
    <t>Metade do Placar e gol do Havertz</t>
  </si>
  <si>
    <t>Placar Exato e gols de Havertz e Rogers</t>
  </si>
  <si>
    <t>2x1 (Kolo Muani e Francisco Conceição; Saelemaekers)</t>
  </si>
  <si>
    <t>1x1 (Kolo Muani; Gonçalo Ramos)</t>
  </si>
  <si>
    <t>2x1 (Kaio Jorge e Fabricio Bruno; Viveros)</t>
  </si>
  <si>
    <t>1x0 (Michel Douglas)</t>
  </si>
  <si>
    <t>3x2 (Kaio Jorge, Arroyo e Matheus Pereira; Viveros e Leozinho)</t>
  </si>
  <si>
    <t>1x0 (Motta)</t>
  </si>
  <si>
    <t>1x1 (Federico Gatti; Alphadjo Cisse)</t>
  </si>
  <si>
    <t>3x1 (Matheus Pereira, Lucas Romero e Kaio Jorge; João Cruz)</t>
  </si>
  <si>
    <t>1x3 (Danilo; Flaco Lopez, Barboza e Mauricio)</t>
  </si>
  <si>
    <t>Vencedor, Metade do Placar e gol do Kaio Jorge</t>
  </si>
  <si>
    <t>Vencedor, Metade do Placar e gols de Matheus Pereira e Kaio Jorge</t>
  </si>
  <si>
    <t>0x1 (Ferreira [contra])</t>
  </si>
  <si>
    <t>Champions (1ª rodada)</t>
  </si>
  <si>
    <t>Club Brugge x Aston Villa</t>
  </si>
  <si>
    <t>Real Madrid x Internazionale</t>
  </si>
  <si>
    <t>Napoli x Arsenal</t>
  </si>
  <si>
    <t>Liverpool x Atlético de Madrid</t>
  </si>
  <si>
    <t>2x3 (Tresoldi e Vanaken; Nicolas Jackson, Maatsen e McGinn)</t>
  </si>
  <si>
    <t>3x1 (Tresoldi, Vetlesen e Mechele; Nicolas Jackson)</t>
  </si>
  <si>
    <t>2x2 (Vanaken e Lindelof [contra]; Pau Torres e McGinn)</t>
  </si>
  <si>
    <t>2x3 (Vetlesen e Tresoldi; McGinn, Buendía e Nicolas Jackson)</t>
  </si>
  <si>
    <t>Metade do Placar e gol do McGinn</t>
  </si>
  <si>
    <t>Gols de Vetlesen, Nicolas Jackson e Tresoldi</t>
  </si>
  <si>
    <t>Placar Exato e gols de McGinn, Nicolas Jackson e Tresoldi</t>
  </si>
  <si>
    <t>4x2 (Vini Jr., Mbappé, Bellingham e Bisseck [contra]; Lautaro Martinez e Çalhanoglu)</t>
  </si>
  <si>
    <t>3x1 (Mbappé 2x e Bellingham; Marcus Thuram)</t>
  </si>
  <si>
    <t>2x1 (Vini Jr. e Mbappé; Lautaro Martinez)</t>
  </si>
  <si>
    <t>2x1 (Mbappé e Valverde; Carlos Augusto)</t>
  </si>
  <si>
    <t>Placar Exato e gol do Mbappé</t>
  </si>
  <si>
    <t>Vencedor e gol do Mbappé</t>
  </si>
  <si>
    <t>Vencedor, Metade do Placar e gol do Mbappé</t>
  </si>
  <si>
    <t>1x2 (Hojlund; Saka e Havertz)</t>
  </si>
  <si>
    <t>2x0 (Isak e Barcola)</t>
  </si>
  <si>
    <t>0x2 (Saka e Gyokeres)</t>
  </si>
  <si>
    <t>2x1 (Isak e Hancko [contra]; Lookman)</t>
  </si>
  <si>
    <t>2x1 (Szoboszlai e Mac Allister; Llorente)</t>
  </si>
  <si>
    <t>0x1 (Odegaard)</t>
  </si>
  <si>
    <t>Coritiba x Athletico</t>
  </si>
  <si>
    <t>Brasileirão (27ª rodada)</t>
  </si>
  <si>
    <t>3x3 (Tiago Coser e Rodrigo Moledo 2x; Luiz Gustavo, Arthur Dias e Viveros)</t>
  </si>
  <si>
    <t>1x3</t>
  </si>
  <si>
    <t>2x1 (Pedro Rocha e Breno Lopes; Viveros)</t>
  </si>
  <si>
    <t>Gol do Viveros</t>
  </si>
  <si>
    <t>1x1 (Josué; Viveros)</t>
  </si>
  <si>
    <t>Empate, Diferença de Gols e gol do Viveros</t>
  </si>
  <si>
    <t>Aston Villa x Nottingham Forest</t>
  </si>
  <si>
    <t>Lazio x Milan</t>
  </si>
  <si>
    <t>Tottenham x Everton</t>
  </si>
  <si>
    <t>Premier League (4ª rodada)</t>
  </si>
  <si>
    <t>Serie A TIM (4ª rodada)</t>
  </si>
  <si>
    <t>1x2 (Alysson; Delap e Igor Jesus)</t>
  </si>
  <si>
    <t>2x2 (Cancellieri e Noslin; Diego Moreira 2x)</t>
  </si>
  <si>
    <t>Palmeiras x São Paulo</t>
  </si>
  <si>
    <t>Santos x Cruzeiro</t>
  </si>
  <si>
    <t>Manchester United x Manchester City</t>
  </si>
  <si>
    <t>Uberlândia x ASA</t>
  </si>
  <si>
    <t>Flamengo x Corinthians</t>
  </si>
  <si>
    <t>3x1 (Pau Torres, Buendía e Tammy Abraham; Delap)</t>
  </si>
  <si>
    <t>Gol do Delap</t>
  </si>
  <si>
    <t>1x2 (Belahyane; Loftus-Cheek e Gonçalo Ramos)</t>
  </si>
  <si>
    <t>3x2 (Savinho, Van de Ven e Maitland-Niles [contra]; Johnson e Mykolenko)</t>
  </si>
  <si>
    <t>2x1 (Nicolas Jackson e Buendía; Gibbs-White)</t>
  </si>
  <si>
    <t>1x2 (Frattesi; Rabiot e Gonçalo Ramos)</t>
  </si>
  <si>
    <t>1x1 (Solanke; Barry)</t>
  </si>
  <si>
    <t>3x1 (Nicolas Jackson, Maatsen e Manzambi; Gibbs-White)</t>
  </si>
  <si>
    <t>0x2 (Gonçalo Ramos e Cisse)</t>
  </si>
  <si>
    <t>3x0 (Marmoush, Savinho e Solanke)</t>
  </si>
  <si>
    <t>3x0 (Arias, Flaco Lopez e Felipe Anderson)</t>
  </si>
  <si>
    <t xml:space="preserve">4x0 (Flaco Lopez, Andreas Pereira, Vitor Roque e Gustavo Gomez)  </t>
  </si>
  <si>
    <t>2x0 (Flaco Lopez e Gustavo Gomez)</t>
  </si>
  <si>
    <t>2x0 (Murilo e Vitor Roque)</t>
  </si>
  <si>
    <t>Vencedor, Metade do Placar e gol do Vitor Roque</t>
  </si>
  <si>
    <t>2x1 (Everton Cebolinha e Luan Peres; Kaio Jorge)</t>
  </si>
  <si>
    <t>1x2 (Everton Cebolinha; Kaio Jorge e Arroyo)</t>
  </si>
  <si>
    <t>1x1 (Matheus Pereira; Rony)</t>
  </si>
  <si>
    <t>2x1 (Rollheiser e Fabricio Bruno [contra]; Matheus Pereira)</t>
  </si>
  <si>
    <t>Metade do Placar e gol do Matheus Pereira</t>
  </si>
  <si>
    <t>1x2 (Matheus Cunha; Haaland e Cherki)</t>
  </si>
  <si>
    <t>Vencedor, Diferença de Gols e gol do Haaland</t>
  </si>
  <si>
    <t>3x2 (Bruno Fernandes, Maguire e Ruben Dias [contra]; Haaland e Gvardiol)</t>
  </si>
  <si>
    <t>Gol do Haaland</t>
  </si>
  <si>
    <t>1x3 (Bruno Fernandes; Haaland, Foden e Gvardiol)</t>
  </si>
  <si>
    <t>Vencedor e gol do Haaland</t>
  </si>
  <si>
    <t>0x1 (Haaland)</t>
  </si>
  <si>
    <t>1x1 (Marcos Calazans; Michel Douglas)</t>
  </si>
  <si>
    <t>2x0 (Pedro e Samuel Lino)</t>
  </si>
  <si>
    <t>3x0 (Pedro, Arrascaeta e Samuel Lino)</t>
  </si>
  <si>
    <t>1x1 (Tomas Bastos; Michel Douglas)</t>
  </si>
  <si>
    <t>0x1 (Gui Negão)</t>
  </si>
  <si>
    <t>Placar Exato e gol do Michel Douglas</t>
  </si>
  <si>
    <t>2x1 (Lucas Paquetá e Bruno Henrique; Gui Negão)</t>
  </si>
  <si>
    <t>Metade do Placar e gol do Gui Negão</t>
  </si>
  <si>
    <t>Liverpool x Tottenham</t>
  </si>
  <si>
    <t>Copa da Liga Inglesa (3ª rodada)</t>
  </si>
  <si>
    <t>3x2 (Gakpo, Koumas e Dúbravka [contra]; Kudus e Marmoush)</t>
  </si>
  <si>
    <t>1x1, Liverpool passa (Barcola; Marmoush)</t>
  </si>
  <si>
    <t>2x0 (Mac Allister e Gakpo)</t>
  </si>
  <si>
    <t>3x1 (Mac Allister,Gakpo e Szoboszlai; Gallagher)</t>
  </si>
  <si>
    <t>Vencedor, Diferença de Gols e gols de Mac Allister e Gakpo</t>
  </si>
  <si>
    <t>Vencedor, Metade do Placar e gol do Gakpo</t>
  </si>
  <si>
    <t>18h03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</si>
</sst>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entury Gothic"/>
      <family val="2"/>
    </font>
    <font>
      <sz val="8"/>
      <color theme="1" tint="4.9989318521683403E-2"/>
      <name val="Century Gothic"/>
      <family val="2"/>
    </font>
    <font>
      <sz val="8"/>
      <name val="Century Gothic"/>
      <family val="2"/>
    </font>
    <font>
      <b/>
      <sz val="14"/>
      <color theme="0"/>
      <name val="Century Gothic"/>
      <family val="2"/>
    </font>
    <font>
      <b/>
      <sz val="14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3" borderId="0" xfId="0" applyFont="1" applyFill="1"/>
    <xf numFmtId="0" fontId="4" fillId="0" borderId="0" xfId="0" applyFont="1"/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6" borderId="0" xfId="0" applyFont="1" applyFill="1"/>
    <xf numFmtId="0" fontId="0" fillId="7" borderId="0" xfId="0" applyFill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80481C-AFBC-483D-B6BC-4E675DD4B086}" name="Tabela5" displayName="Tabela5" ref="B1:C5" totalsRowShown="0" headerRowDxfId="14" dataDxfId="13">
  <autoFilter ref="B1:C5" xr:uid="{4080481C-AFBC-483D-B6BC-4E675DD4B086}"/>
  <sortState xmlns:xlrd2="http://schemas.microsoft.com/office/spreadsheetml/2017/richdata2" ref="B2:C5">
    <sortCondition descending="1" ref="C1:C5"/>
  </sortState>
  <tableColumns count="2">
    <tableColumn id="1" xr3:uid="{907C4D55-FC92-4991-8DB1-38FC3B2CB1CC}" name="Participante" dataDxfId="12"/>
    <tableColumn id="2" xr3:uid="{9AB59FB6-ED8D-44C5-A286-8429AA20B316}" name="Pontuação Total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BAD58-B8FB-4E07-8496-D3CDCAF2946C}" name="Bruno" displayName="Bruno" ref="A1:F55" totalsRowCount="1">
  <autoFilter ref="A1:F54" xr:uid="{EA786FA1-AC7A-411B-AA92-99992422E6A0}"/>
  <tableColumns count="6">
    <tableColumn id="1" xr3:uid="{C71385D7-2558-4DA8-B112-3C55DEAAE259}" name="Jogos" totalsRowLabel="Pontuação Total"/>
    <tableColumn id="6" xr3:uid="{B0FB2B74-C80C-4FA6-943A-E22BC7275E31}" name="Competição"/>
    <tableColumn id="2" xr3:uid="{3D9EB129-80D6-48B0-9E37-B03BFF05AD57}" name="Placar Final"/>
    <tableColumn id="3" xr3:uid="{C1BDF125-06C3-414F-966F-535C528F27E2}" name="Palpites"/>
    <tableColumn id="4" xr3:uid="{372940E3-AB75-4CF3-A36B-1A1980AB5CE3}" name="Pontuação" totalsRowFunction="sum"/>
    <tableColumn id="5" xr3:uid="{43296C7A-D5F6-4F41-B5C4-7FD96E7AF479}" name="Detalhamento da Pontuação" dataDxf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0010C-3FEC-4721-A2F1-2B1262C27733}" name="Davi" displayName="Davi" ref="A1:F55" totalsRowCount="1">
  <autoFilter ref="A1:F54" xr:uid="{EA786FA1-AC7A-411B-AA92-99992422E6A0}"/>
  <tableColumns count="6">
    <tableColumn id="1" xr3:uid="{058B45F7-561A-44D1-B2B5-3A32E5B9B38A}" name="Jogos" totalsRowLabel="Pontuação Total" dataDxfId="9">
      <calculatedColumnFormula>Bruno[[#This Row],[Jogos]]</calculatedColumnFormula>
    </tableColumn>
    <tableColumn id="3" xr3:uid="{9D7C2B8E-AFB2-471E-8C17-7AABA3B39959}" name="Competição">
      <calculatedColumnFormula>Bruno[[#This Row],[Competição]]</calculatedColumnFormula>
    </tableColumn>
    <tableColumn id="2" xr3:uid="{3F7FB2C7-C241-44AB-BD52-34D952499DC8}" name="Placar Final" dataDxfId="8">
      <calculatedColumnFormula>Bruno[[#This Row],[Placar Final]]</calculatedColumnFormula>
    </tableColumn>
    <tableColumn id="7" xr3:uid="{B95D9D7E-0C40-4A23-BDD6-A3DF8D711616}" name="Palpites" dataDxfId="7"/>
    <tableColumn id="8" xr3:uid="{E72B1DD3-CA7C-4977-B134-B290B11AE3D1}" name="Pontuação" totalsRowFunction="sum"/>
    <tableColumn id="9" xr3:uid="{88CC5557-389F-4A4B-AFA2-170C0C0B501B}" name="Detalhamento da Pontuação" dataDxfId="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27FC1-34CC-42E0-ACD0-D43C7665893E}" name="Douglas" displayName="Douglas" ref="A1:F55" totalsRowCount="1">
  <autoFilter ref="A1:F54" xr:uid="{EA786FA1-AC7A-411B-AA92-99992422E6A0}"/>
  <tableColumns count="6">
    <tableColumn id="1" xr3:uid="{36A94A93-467B-45F2-8D9F-62F1238767C5}" name="Jogos" totalsRowLabel="Pontuação Total" dataDxfId="5">
      <calculatedColumnFormula>Bruno[[#This Row],[Jogos]]</calculatedColumnFormula>
    </tableColumn>
    <tableColumn id="3" xr3:uid="{817CFDB9-91F9-4A30-8899-C70253D5A5B5}" name="Competição">
      <calculatedColumnFormula>Bruno[[#This Row],[Competição]]</calculatedColumnFormula>
    </tableColumn>
    <tableColumn id="2" xr3:uid="{2CD111D4-A36D-4A28-83C8-E823A8E88E68}" name="Placar Final" dataDxfId="4">
      <calculatedColumnFormula>Bruno[[#This Row],[Placar Final]]</calculatedColumnFormula>
    </tableColumn>
    <tableColumn id="10" xr3:uid="{B065E949-2D22-4BA5-8440-76938E6451D1}" name="Palpites"/>
    <tableColumn id="11" xr3:uid="{7488D55C-ED90-4E91-8BC5-919CA2474D14}" name="Pontuação" totalsRowFunction="sum"/>
    <tableColumn id="12" xr3:uid="{9A8239CB-A969-4B85-9880-37428C3778B3}" name="Detalhamento da Pontuação" dataDxf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D59292-5B6E-43A1-89EC-D622E650A732}" name="Gabriel" displayName="Gabriel" ref="A1:F55" totalsRowCount="1">
  <autoFilter ref="A1:F54" xr:uid="{EA786FA1-AC7A-411B-AA92-99992422E6A0}"/>
  <tableColumns count="6">
    <tableColumn id="1" xr3:uid="{BB8600F3-C3B0-480D-957C-847F645EACD5}" name="Jogos" totalsRowLabel="Pontuação Total" dataDxfId="2">
      <calculatedColumnFormula>Bruno[[#This Row],[Jogos]]</calculatedColumnFormula>
    </tableColumn>
    <tableColumn id="3" xr3:uid="{A5CEE8D2-A800-4014-A4D0-8B6708FBAEE0}" name="Competição">
      <calculatedColumnFormula>Bruno[[#This Row],[Competição]]</calculatedColumnFormula>
    </tableColumn>
    <tableColumn id="2" xr3:uid="{0EBADCC4-C56E-4F68-AC85-CCA4B5FE2AA5}" name="Placar Final" dataDxfId="1">
      <calculatedColumnFormula>Bruno[[#This Row],[Placar Final]]</calculatedColumnFormula>
    </tableColumn>
    <tableColumn id="13" xr3:uid="{635008A9-70F0-45C9-9E8F-2B6EDF0E677A}" name="Palpites"/>
    <tableColumn id="14" xr3:uid="{529292F2-CDB9-4207-8EBB-255822B4B6CA}" name="Pontuação" totalsRowFunction="sum"/>
    <tableColumn id="15" xr3:uid="{B6AC962F-7D71-4786-AAB6-BF0CD0CF5CC2}" name="Detalhamento da Pontuaç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4306-76C2-4B1D-9DC9-5B50BD0AB05F}">
  <dimension ref="A1:C9"/>
  <sheetViews>
    <sheetView tabSelected="1" workbookViewId="0">
      <selection activeCell="A12" sqref="A12"/>
    </sheetView>
  </sheetViews>
  <sheetFormatPr defaultColWidth="9.1640625" defaultRowHeight="18" x14ac:dyDescent="0.25"/>
  <cols>
    <col min="1" max="1" width="14.5" style="3" bestFit="1" customWidth="1"/>
    <col min="2" max="2" width="23.5" style="3" bestFit="1" customWidth="1"/>
    <col min="3" max="3" width="30.5" style="3" bestFit="1" customWidth="1"/>
    <col min="4" max="16384" width="9.1640625" style="3"/>
  </cols>
  <sheetData>
    <row r="1" spans="1:3" x14ac:dyDescent="0.25">
      <c r="A1" s="4" t="s">
        <v>0</v>
      </c>
      <c r="B1" s="3" t="s">
        <v>1</v>
      </c>
      <c r="C1" s="3" t="s">
        <v>2</v>
      </c>
    </row>
    <row r="2" spans="1:3" x14ac:dyDescent="0.25">
      <c r="A2" s="5" t="s">
        <v>3</v>
      </c>
      <c r="B2" s="3" t="s">
        <v>8</v>
      </c>
      <c r="C2" s="3">
        <f>Douglas[[#Totals],[Pontuação]]</f>
        <v>140</v>
      </c>
    </row>
    <row r="3" spans="1:3" x14ac:dyDescent="0.25">
      <c r="A3" s="6" t="s">
        <v>5</v>
      </c>
      <c r="B3" s="3" t="s">
        <v>4</v>
      </c>
      <c r="C3" s="3">
        <f>Davi[[#Totals],[Pontuação]]</f>
        <v>125</v>
      </c>
    </row>
    <row r="4" spans="1:3" x14ac:dyDescent="0.25">
      <c r="A4" s="5" t="s">
        <v>7</v>
      </c>
      <c r="B4" s="3" t="s">
        <v>6</v>
      </c>
      <c r="C4" s="3">
        <f>Gabriel[[#Totals],[Pontuação]]</f>
        <v>105</v>
      </c>
    </row>
    <row r="5" spans="1:3" x14ac:dyDescent="0.25">
      <c r="A5" s="6" t="s">
        <v>9</v>
      </c>
      <c r="B5" s="3" t="s">
        <v>10</v>
      </c>
      <c r="C5" s="3">
        <f>Bruno[[#Totals],[Pontuação]]</f>
        <v>25</v>
      </c>
    </row>
    <row r="8" spans="1:3" x14ac:dyDescent="0.25">
      <c r="A8" s="11" t="s">
        <v>11</v>
      </c>
      <c r="B8" s="11"/>
      <c r="C8" s="8">
        <v>46280</v>
      </c>
    </row>
    <row r="9" spans="1:3" x14ac:dyDescent="0.25">
      <c r="A9" s="11"/>
      <c r="B9" s="11"/>
      <c r="C9" s="7" t="s">
        <v>362</v>
      </c>
    </row>
  </sheetData>
  <mergeCells count="1">
    <mergeCell ref="A8:B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1841-039A-4C51-AF05-A922A9D7DC21}">
  <dimension ref="A1:F55"/>
  <sheetViews>
    <sheetView workbookViewId="0">
      <pane ySplit="1" topLeftCell="A36" activePane="bottomLeft" state="frozen"/>
      <selection pane="bottomLeft" activeCell="A57" sqref="A57"/>
    </sheetView>
  </sheetViews>
  <sheetFormatPr defaultColWidth="12.83203125" defaultRowHeight="13.5" x14ac:dyDescent="0.3"/>
  <cols>
    <col min="1" max="1" width="36.33203125" bestFit="1" customWidth="1"/>
    <col min="2" max="2" width="32.5" bestFit="1" customWidth="1"/>
    <col min="3" max="3" width="73.33203125" bestFit="1" customWidth="1"/>
    <col min="4" max="4" width="46" bestFit="1" customWidth="1"/>
    <col min="5" max="5" width="13.6640625" bestFit="1" customWidth="1"/>
    <col min="6" max="6" width="36.5" bestFit="1" customWidth="1"/>
  </cols>
  <sheetData>
    <row r="1" spans="1:6" x14ac:dyDescent="0.3">
      <c r="A1" s="2" t="s">
        <v>12</v>
      </c>
      <c r="B1" s="9" t="s">
        <v>13</v>
      </c>
      <c r="C1" s="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18</v>
      </c>
      <c r="B2" t="s">
        <v>19</v>
      </c>
      <c r="C2" t="s">
        <v>20</v>
      </c>
      <c r="D2" t="s">
        <v>21</v>
      </c>
      <c r="E2">
        <v>1</v>
      </c>
      <c r="F2" t="s">
        <v>22</v>
      </c>
    </row>
    <row r="3" spans="1:6" x14ac:dyDescent="0.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</row>
    <row r="4" spans="1:6" x14ac:dyDescent="0.3">
      <c r="A4" t="s">
        <v>28</v>
      </c>
      <c r="B4" t="s">
        <v>24</v>
      </c>
      <c r="C4" t="s">
        <v>29</v>
      </c>
      <c r="D4" t="s">
        <v>30</v>
      </c>
      <c r="E4">
        <v>1</v>
      </c>
      <c r="F4" t="s">
        <v>31</v>
      </c>
    </row>
    <row r="5" spans="1:6" x14ac:dyDescent="0.3">
      <c r="A5" t="s">
        <v>32</v>
      </c>
      <c r="B5" t="s">
        <v>24</v>
      </c>
      <c r="C5" t="s">
        <v>33</v>
      </c>
      <c r="D5" t="s">
        <v>34</v>
      </c>
      <c r="E5">
        <v>2</v>
      </c>
      <c r="F5" t="s">
        <v>35</v>
      </c>
    </row>
    <row r="6" spans="1:6" x14ac:dyDescent="0.3">
      <c r="A6" t="s">
        <v>36</v>
      </c>
      <c r="B6" t="s">
        <v>24</v>
      </c>
      <c r="C6" t="s">
        <v>37</v>
      </c>
      <c r="D6" t="s">
        <v>38</v>
      </c>
      <c r="E6">
        <v>0</v>
      </c>
      <c r="F6" t="s">
        <v>38</v>
      </c>
    </row>
    <row r="7" spans="1:6" x14ac:dyDescent="0.3">
      <c r="A7" t="s">
        <v>39</v>
      </c>
      <c r="B7" t="s">
        <v>40</v>
      </c>
      <c r="C7" t="s">
        <v>41</v>
      </c>
      <c r="D7" t="s">
        <v>42</v>
      </c>
      <c r="E7">
        <v>3</v>
      </c>
      <c r="F7" t="s">
        <v>43</v>
      </c>
    </row>
    <row r="8" spans="1:6" x14ac:dyDescent="0.3">
      <c r="A8" t="s">
        <v>44</v>
      </c>
      <c r="B8" t="s">
        <v>40</v>
      </c>
      <c r="C8" t="s">
        <v>45</v>
      </c>
      <c r="D8" t="s">
        <v>38</v>
      </c>
      <c r="E8">
        <v>0</v>
      </c>
      <c r="F8" t="s">
        <v>38</v>
      </c>
    </row>
    <row r="9" spans="1:6" x14ac:dyDescent="0.3">
      <c r="A9" t="s">
        <v>46</v>
      </c>
      <c r="B9" t="s">
        <v>40</v>
      </c>
      <c r="C9" t="s">
        <v>47</v>
      </c>
      <c r="D9" t="s">
        <v>38</v>
      </c>
      <c r="E9">
        <v>0</v>
      </c>
      <c r="F9" t="s">
        <v>38</v>
      </c>
    </row>
    <row r="10" spans="1:6" x14ac:dyDescent="0.3">
      <c r="A10" t="s">
        <v>48</v>
      </c>
      <c r="B10" t="s">
        <v>40</v>
      </c>
      <c r="C10" t="s">
        <v>45</v>
      </c>
      <c r="D10" t="s">
        <v>49</v>
      </c>
      <c r="E10">
        <v>1</v>
      </c>
      <c r="F10" t="s">
        <v>27</v>
      </c>
    </row>
    <row r="11" spans="1:6" x14ac:dyDescent="0.3">
      <c r="A11" t="s">
        <v>50</v>
      </c>
      <c r="B11" t="s">
        <v>51</v>
      </c>
      <c r="C11" t="s">
        <v>52</v>
      </c>
      <c r="D11" t="s">
        <v>38</v>
      </c>
      <c r="E11">
        <v>0</v>
      </c>
      <c r="F11" t="s">
        <v>38</v>
      </c>
    </row>
    <row r="12" spans="1:6" x14ac:dyDescent="0.3">
      <c r="A12" t="s">
        <v>53</v>
      </c>
      <c r="B12" t="s">
        <v>54</v>
      </c>
      <c r="C12" t="s">
        <v>55</v>
      </c>
      <c r="D12" t="s">
        <v>56</v>
      </c>
      <c r="E12">
        <v>1</v>
      </c>
      <c r="F12" t="s">
        <v>27</v>
      </c>
    </row>
    <row r="13" spans="1:6" x14ac:dyDescent="0.3">
      <c r="A13" t="s">
        <v>57</v>
      </c>
      <c r="B13" t="s">
        <v>58</v>
      </c>
      <c r="C13" t="s">
        <v>59</v>
      </c>
      <c r="D13" t="s">
        <v>38</v>
      </c>
      <c r="E13">
        <v>0</v>
      </c>
      <c r="F13" t="s">
        <v>38</v>
      </c>
    </row>
    <row r="14" spans="1:6" x14ac:dyDescent="0.3">
      <c r="A14" t="s">
        <v>60</v>
      </c>
      <c r="B14" t="s">
        <v>61</v>
      </c>
      <c r="C14" t="s">
        <v>45</v>
      </c>
      <c r="D14" t="s">
        <v>62</v>
      </c>
      <c r="E14">
        <v>3</v>
      </c>
      <c r="F14" t="s">
        <v>63</v>
      </c>
    </row>
    <row r="15" spans="1:6" x14ac:dyDescent="0.3">
      <c r="A15" t="s">
        <v>64</v>
      </c>
      <c r="B15" t="s">
        <v>65</v>
      </c>
      <c r="C15" t="s">
        <v>66</v>
      </c>
      <c r="D15" t="s">
        <v>38</v>
      </c>
      <c r="E15">
        <v>0</v>
      </c>
      <c r="F15" t="s">
        <v>38</v>
      </c>
    </row>
    <row r="16" spans="1:6" x14ac:dyDescent="0.3">
      <c r="A16" t="s">
        <v>67</v>
      </c>
      <c r="B16" t="s">
        <v>68</v>
      </c>
      <c r="C16" t="s">
        <v>69</v>
      </c>
      <c r="D16" t="s">
        <v>38</v>
      </c>
      <c r="E16">
        <v>0</v>
      </c>
      <c r="F16" t="s">
        <v>38</v>
      </c>
    </row>
    <row r="17" spans="1:6" x14ac:dyDescent="0.3">
      <c r="A17" t="s">
        <v>70</v>
      </c>
      <c r="B17" t="s">
        <v>71</v>
      </c>
      <c r="C17" t="s">
        <v>130</v>
      </c>
      <c r="D17" t="s">
        <v>38</v>
      </c>
      <c r="E17">
        <v>0</v>
      </c>
      <c r="F17" t="s">
        <v>38</v>
      </c>
    </row>
    <row r="18" spans="1:6" x14ac:dyDescent="0.3">
      <c r="A18" t="s">
        <v>133</v>
      </c>
      <c r="B18" t="s">
        <v>134</v>
      </c>
      <c r="C18" t="s">
        <v>149</v>
      </c>
      <c r="D18" s="10" t="s">
        <v>148</v>
      </c>
      <c r="E18">
        <v>10</v>
      </c>
      <c r="F18" t="s">
        <v>150</v>
      </c>
    </row>
    <row r="19" spans="1:6" x14ac:dyDescent="0.3">
      <c r="A19" t="s">
        <v>142</v>
      </c>
      <c r="B19" t="s">
        <v>143</v>
      </c>
      <c r="C19" t="s">
        <v>155</v>
      </c>
      <c r="D19" t="s">
        <v>38</v>
      </c>
      <c r="E19">
        <v>0</v>
      </c>
      <c r="F19" t="s">
        <v>38</v>
      </c>
    </row>
    <row r="20" spans="1:6" x14ac:dyDescent="0.3">
      <c r="A20" t="s">
        <v>135</v>
      </c>
      <c r="B20" t="s">
        <v>138</v>
      </c>
      <c r="C20" t="s">
        <v>160</v>
      </c>
      <c r="D20" t="s">
        <v>38</v>
      </c>
      <c r="E20">
        <v>0</v>
      </c>
      <c r="F20" t="s">
        <v>38</v>
      </c>
    </row>
    <row r="21" spans="1:6" x14ac:dyDescent="0.3">
      <c r="A21" t="s">
        <v>140</v>
      </c>
      <c r="B21" t="s">
        <v>134</v>
      </c>
      <c r="C21" t="s">
        <v>165</v>
      </c>
      <c r="D21" t="s">
        <v>38</v>
      </c>
      <c r="E21">
        <v>0</v>
      </c>
      <c r="F21" t="s">
        <v>38</v>
      </c>
    </row>
    <row r="22" spans="1:6" x14ac:dyDescent="0.3">
      <c r="A22" t="s">
        <v>136</v>
      </c>
      <c r="B22" t="s">
        <v>138</v>
      </c>
      <c r="C22" t="s">
        <v>175</v>
      </c>
      <c r="D22" t="s">
        <v>38</v>
      </c>
      <c r="E22">
        <v>0</v>
      </c>
      <c r="F22" t="s">
        <v>38</v>
      </c>
    </row>
    <row r="23" spans="1:6" x14ac:dyDescent="0.3">
      <c r="A23" t="s">
        <v>144</v>
      </c>
      <c r="B23" t="s">
        <v>143</v>
      </c>
      <c r="C23" t="s">
        <v>178</v>
      </c>
      <c r="D23" t="s">
        <v>38</v>
      </c>
      <c r="E23">
        <v>0</v>
      </c>
      <c r="F23" t="s">
        <v>38</v>
      </c>
    </row>
    <row r="24" spans="1:6" x14ac:dyDescent="0.3">
      <c r="A24" t="s">
        <v>137</v>
      </c>
      <c r="B24" t="s">
        <v>139</v>
      </c>
      <c r="C24" t="s">
        <v>179</v>
      </c>
      <c r="D24" t="s">
        <v>38</v>
      </c>
      <c r="E24">
        <v>0</v>
      </c>
      <c r="F24" t="s">
        <v>38</v>
      </c>
    </row>
    <row r="25" spans="1:6" x14ac:dyDescent="0.3">
      <c r="A25" t="s">
        <v>141</v>
      </c>
      <c r="B25" t="s">
        <v>134</v>
      </c>
      <c r="C25" t="s">
        <v>183</v>
      </c>
      <c r="D25" t="s">
        <v>38</v>
      </c>
      <c r="E25">
        <v>0</v>
      </c>
      <c r="F25" t="s">
        <v>38</v>
      </c>
    </row>
    <row r="26" spans="1:6" x14ac:dyDescent="0.3">
      <c r="A26" t="s">
        <v>187</v>
      </c>
      <c r="B26" t="s">
        <v>188</v>
      </c>
      <c r="C26" t="s">
        <v>189</v>
      </c>
      <c r="D26" t="s">
        <v>38</v>
      </c>
      <c r="E26">
        <v>0</v>
      </c>
      <c r="F26" t="s">
        <v>38</v>
      </c>
    </row>
    <row r="27" spans="1:6" x14ac:dyDescent="0.3">
      <c r="A27" t="s">
        <v>196</v>
      </c>
      <c r="B27" t="s">
        <v>195</v>
      </c>
      <c r="C27" t="s">
        <v>210</v>
      </c>
      <c r="D27" t="s">
        <v>38</v>
      </c>
      <c r="E27">
        <v>0</v>
      </c>
      <c r="F27" t="s">
        <v>38</v>
      </c>
    </row>
    <row r="28" spans="1:6" x14ac:dyDescent="0.3">
      <c r="A28" t="s">
        <v>197</v>
      </c>
      <c r="B28" t="s">
        <v>195</v>
      </c>
      <c r="C28" t="s">
        <v>209</v>
      </c>
      <c r="D28" t="s">
        <v>38</v>
      </c>
      <c r="E28">
        <v>0</v>
      </c>
      <c r="F28" t="s">
        <v>38</v>
      </c>
    </row>
    <row r="29" spans="1:6" x14ac:dyDescent="0.3">
      <c r="A29" t="s">
        <v>198</v>
      </c>
      <c r="B29" t="s">
        <v>143</v>
      </c>
      <c r="C29" t="s">
        <v>45</v>
      </c>
      <c r="D29" t="s">
        <v>38</v>
      </c>
      <c r="E29">
        <v>0</v>
      </c>
      <c r="F29" t="s">
        <v>38</v>
      </c>
    </row>
    <row r="30" spans="1:6" x14ac:dyDescent="0.3">
      <c r="A30" t="s">
        <v>199</v>
      </c>
      <c r="B30" t="s">
        <v>143</v>
      </c>
      <c r="C30" t="s">
        <v>214</v>
      </c>
      <c r="D30" t="s">
        <v>38</v>
      </c>
      <c r="E30">
        <v>0</v>
      </c>
      <c r="F30" t="s">
        <v>38</v>
      </c>
    </row>
    <row r="31" spans="1:6" x14ac:dyDescent="0.3">
      <c r="A31" t="s">
        <v>215</v>
      </c>
      <c r="B31" t="s">
        <v>195</v>
      </c>
      <c r="C31" t="s">
        <v>216</v>
      </c>
      <c r="D31" t="s">
        <v>38</v>
      </c>
      <c r="E31">
        <v>0</v>
      </c>
      <c r="F31" t="s">
        <v>38</v>
      </c>
    </row>
    <row r="32" spans="1:6" x14ac:dyDescent="0.3">
      <c r="A32" t="s">
        <v>222</v>
      </c>
      <c r="B32" t="s">
        <v>224</v>
      </c>
      <c r="C32" t="s">
        <v>227</v>
      </c>
      <c r="D32" t="s">
        <v>38</v>
      </c>
      <c r="E32">
        <v>0</v>
      </c>
      <c r="F32" t="s">
        <v>38</v>
      </c>
    </row>
    <row r="33" spans="1:6" x14ac:dyDescent="0.3">
      <c r="A33" t="s">
        <v>223</v>
      </c>
      <c r="B33" t="s">
        <v>225</v>
      </c>
      <c r="C33" t="s">
        <v>226</v>
      </c>
      <c r="D33" t="s">
        <v>38</v>
      </c>
      <c r="E33">
        <v>0</v>
      </c>
      <c r="F33" t="s">
        <v>38</v>
      </c>
    </row>
    <row r="34" spans="1:6" x14ac:dyDescent="0.3">
      <c r="A34" t="s">
        <v>234</v>
      </c>
      <c r="B34" t="s">
        <v>235</v>
      </c>
      <c r="C34" t="s">
        <v>239</v>
      </c>
      <c r="D34" t="s">
        <v>38</v>
      </c>
      <c r="E34">
        <v>0</v>
      </c>
      <c r="F34" t="s">
        <v>38</v>
      </c>
    </row>
    <row r="35" spans="1:6" x14ac:dyDescent="0.3">
      <c r="A35" t="s">
        <v>242</v>
      </c>
      <c r="B35" t="s">
        <v>235</v>
      </c>
      <c r="C35" t="s">
        <v>251</v>
      </c>
      <c r="D35" t="s">
        <v>38</v>
      </c>
      <c r="E35">
        <v>0</v>
      </c>
      <c r="F35" t="s">
        <v>38</v>
      </c>
    </row>
    <row r="36" spans="1:6" x14ac:dyDescent="0.3">
      <c r="A36" t="s">
        <v>243</v>
      </c>
      <c r="B36" t="s">
        <v>248</v>
      </c>
      <c r="C36" t="s">
        <v>259</v>
      </c>
      <c r="D36" t="s">
        <v>256</v>
      </c>
      <c r="E36">
        <v>2</v>
      </c>
      <c r="F36" t="s">
        <v>260</v>
      </c>
    </row>
    <row r="37" spans="1:6" x14ac:dyDescent="0.3">
      <c r="A37" t="s">
        <v>244</v>
      </c>
      <c r="B37" t="s">
        <v>249</v>
      </c>
      <c r="C37" t="s">
        <v>268</v>
      </c>
      <c r="D37" t="s">
        <v>38</v>
      </c>
      <c r="E37">
        <v>0</v>
      </c>
      <c r="F37" t="s">
        <v>38</v>
      </c>
    </row>
    <row r="38" spans="1:6" x14ac:dyDescent="0.3">
      <c r="A38" t="s">
        <v>245</v>
      </c>
      <c r="B38" t="s">
        <v>235</v>
      </c>
      <c r="C38" t="s">
        <v>269</v>
      </c>
      <c r="D38" t="s">
        <v>38</v>
      </c>
      <c r="E38">
        <v>0</v>
      </c>
      <c r="F38" t="s">
        <v>38</v>
      </c>
    </row>
    <row r="39" spans="1:6" x14ac:dyDescent="0.3">
      <c r="A39" t="s">
        <v>246</v>
      </c>
      <c r="B39" t="s">
        <v>250</v>
      </c>
      <c r="C39" t="s">
        <v>273</v>
      </c>
      <c r="D39" t="s">
        <v>38</v>
      </c>
      <c r="E39">
        <v>0</v>
      </c>
      <c r="F39" t="s">
        <v>38</v>
      </c>
    </row>
    <row r="40" spans="1:6" x14ac:dyDescent="0.3">
      <c r="A40" t="s">
        <v>247</v>
      </c>
      <c r="B40" t="s">
        <v>235</v>
      </c>
      <c r="C40" t="s">
        <v>45</v>
      </c>
      <c r="D40" t="s">
        <v>38</v>
      </c>
      <c r="E40">
        <v>0</v>
      </c>
      <c r="F40" t="s">
        <v>38</v>
      </c>
    </row>
    <row r="41" spans="1:6" x14ac:dyDescent="0.3">
      <c r="A41" t="s">
        <v>275</v>
      </c>
      <c r="B41" t="s">
        <v>274</v>
      </c>
      <c r="C41" t="s">
        <v>282</v>
      </c>
      <c r="D41" t="s">
        <v>38</v>
      </c>
      <c r="E41">
        <v>0</v>
      </c>
      <c r="F41" t="s">
        <v>38</v>
      </c>
    </row>
    <row r="42" spans="1:6" x14ac:dyDescent="0.3">
      <c r="A42" t="s">
        <v>276</v>
      </c>
      <c r="B42" t="s">
        <v>274</v>
      </c>
      <c r="C42" t="s">
        <v>289</v>
      </c>
      <c r="D42" t="s">
        <v>38</v>
      </c>
      <c r="E42">
        <v>0</v>
      </c>
      <c r="F42" t="s">
        <v>38</v>
      </c>
    </row>
    <row r="43" spans="1:6" x14ac:dyDescent="0.3">
      <c r="A43" t="s">
        <v>277</v>
      </c>
      <c r="B43" t="s">
        <v>274</v>
      </c>
      <c r="C43" t="s">
        <v>298</v>
      </c>
      <c r="D43" t="s">
        <v>38</v>
      </c>
      <c r="E43">
        <v>0</v>
      </c>
      <c r="F43" t="s">
        <v>38</v>
      </c>
    </row>
    <row r="44" spans="1:6" x14ac:dyDescent="0.3">
      <c r="A44" t="s">
        <v>278</v>
      </c>
      <c r="B44" t="s">
        <v>274</v>
      </c>
      <c r="C44" t="s">
        <v>297</v>
      </c>
      <c r="D44" t="s">
        <v>38</v>
      </c>
      <c r="E44">
        <v>0</v>
      </c>
      <c r="F44" t="s">
        <v>38</v>
      </c>
    </row>
    <row r="45" spans="1:6" x14ac:dyDescent="0.3">
      <c r="A45" t="s">
        <v>299</v>
      </c>
      <c r="B45" t="s">
        <v>300</v>
      </c>
      <c r="C45" t="s">
        <v>301</v>
      </c>
      <c r="D45" t="s">
        <v>38</v>
      </c>
      <c r="E45">
        <v>0</v>
      </c>
      <c r="F45" t="s">
        <v>38</v>
      </c>
    </row>
    <row r="46" spans="1:6" x14ac:dyDescent="0.3">
      <c r="A46" t="s">
        <v>307</v>
      </c>
      <c r="B46" t="s">
        <v>310</v>
      </c>
      <c r="C46" t="s">
        <v>312</v>
      </c>
      <c r="D46" t="s">
        <v>38</v>
      </c>
      <c r="E46">
        <v>0</v>
      </c>
      <c r="F46" t="s">
        <v>38</v>
      </c>
    </row>
    <row r="47" spans="1:6" x14ac:dyDescent="0.3">
      <c r="A47" t="s">
        <v>308</v>
      </c>
      <c r="B47" t="s">
        <v>311</v>
      </c>
      <c r="C47" t="s">
        <v>313</v>
      </c>
      <c r="D47" t="s">
        <v>38</v>
      </c>
      <c r="E47">
        <v>0</v>
      </c>
      <c r="F47" t="s">
        <v>38</v>
      </c>
    </row>
    <row r="48" spans="1:6" x14ac:dyDescent="0.3">
      <c r="A48" t="s">
        <v>309</v>
      </c>
      <c r="B48" t="s">
        <v>310</v>
      </c>
      <c r="C48" t="s">
        <v>45</v>
      </c>
      <c r="D48" t="s">
        <v>38</v>
      </c>
      <c r="E48">
        <v>0</v>
      </c>
      <c r="F48" t="s">
        <v>38</v>
      </c>
    </row>
    <row r="49" spans="1:6" x14ac:dyDescent="0.3">
      <c r="A49" t="s">
        <v>314</v>
      </c>
      <c r="B49" t="s">
        <v>300</v>
      </c>
      <c r="C49" t="s">
        <v>332</v>
      </c>
      <c r="D49" t="s">
        <v>38</v>
      </c>
      <c r="E49">
        <v>0</v>
      </c>
      <c r="F49" t="s">
        <v>38</v>
      </c>
    </row>
    <row r="50" spans="1:6" x14ac:dyDescent="0.3">
      <c r="A50" t="s">
        <v>315</v>
      </c>
      <c r="B50" t="s">
        <v>300</v>
      </c>
      <c r="C50" t="s">
        <v>337</v>
      </c>
      <c r="D50" t="s">
        <v>38</v>
      </c>
      <c r="E50">
        <v>0</v>
      </c>
      <c r="F50" t="s">
        <v>38</v>
      </c>
    </row>
    <row r="51" spans="1:6" x14ac:dyDescent="0.3">
      <c r="A51" t="s">
        <v>316</v>
      </c>
      <c r="B51" t="s">
        <v>310</v>
      </c>
      <c r="C51" t="s">
        <v>345</v>
      </c>
      <c r="D51" t="s">
        <v>38</v>
      </c>
      <c r="E51">
        <v>0</v>
      </c>
      <c r="F51" t="s">
        <v>38</v>
      </c>
    </row>
    <row r="52" spans="1:6" x14ac:dyDescent="0.3">
      <c r="A52" t="s">
        <v>317</v>
      </c>
      <c r="B52" t="s">
        <v>250</v>
      </c>
      <c r="C52" t="s">
        <v>346</v>
      </c>
      <c r="D52" t="s">
        <v>38</v>
      </c>
      <c r="E52">
        <v>0</v>
      </c>
      <c r="F52" t="s">
        <v>38</v>
      </c>
    </row>
    <row r="53" spans="1:6" x14ac:dyDescent="0.3">
      <c r="A53" t="s">
        <v>318</v>
      </c>
      <c r="B53" t="s">
        <v>300</v>
      </c>
      <c r="C53" t="s">
        <v>352</v>
      </c>
      <c r="D53" t="s">
        <v>38</v>
      </c>
      <c r="E53">
        <v>0</v>
      </c>
      <c r="F53" t="s">
        <v>38</v>
      </c>
    </row>
    <row r="54" spans="1:6" x14ac:dyDescent="0.3">
      <c r="A54" t="s">
        <v>354</v>
      </c>
      <c r="B54" t="s">
        <v>355</v>
      </c>
      <c r="C54" t="s">
        <v>359</v>
      </c>
      <c r="D54" t="s">
        <v>38</v>
      </c>
      <c r="E54">
        <v>0</v>
      </c>
      <c r="F54" t="s">
        <v>38</v>
      </c>
    </row>
    <row r="55" spans="1:6" x14ac:dyDescent="0.3">
      <c r="A55" t="s">
        <v>2</v>
      </c>
      <c r="E55">
        <f>SUBTOTAL(109,Bruno[Pontuação])</f>
        <v>25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3569-B33B-4725-B50F-0559FA6747EC}">
  <dimension ref="A1:F55"/>
  <sheetViews>
    <sheetView workbookViewId="0">
      <pane ySplit="1" topLeftCell="A35" activePane="bottomLeft" state="frozen"/>
      <selection activeCell="B1" sqref="B1"/>
      <selection pane="bottomLeft" activeCell="A57" sqref="A57"/>
    </sheetView>
  </sheetViews>
  <sheetFormatPr defaultColWidth="12.83203125" defaultRowHeight="13.5" x14ac:dyDescent="0.3"/>
  <cols>
    <col min="1" max="1" width="36.33203125" bestFit="1" customWidth="1"/>
    <col min="2" max="2" width="32.5" bestFit="1" customWidth="1"/>
    <col min="3" max="3" width="73.33203125" bestFit="1" customWidth="1"/>
    <col min="4" max="4" width="68.33203125" bestFit="1" customWidth="1"/>
    <col min="5" max="5" width="13.6640625" bestFit="1" customWidth="1"/>
    <col min="6" max="6" width="65.1640625" bestFit="1" customWidth="1"/>
  </cols>
  <sheetData>
    <row r="1" spans="1:6" x14ac:dyDescent="0.3">
      <c r="A1" s="2" t="s">
        <v>12</v>
      </c>
      <c r="B1" s="9" t="s">
        <v>13</v>
      </c>
      <c r="C1" s="1" t="s">
        <v>14</v>
      </c>
      <c r="D1" t="s">
        <v>15</v>
      </c>
      <c r="E1" t="s">
        <v>16</v>
      </c>
      <c r="F1" t="s">
        <v>17</v>
      </c>
    </row>
    <row r="2" spans="1:6" x14ac:dyDescent="0.3">
      <c r="A2" t="str">
        <f>Bruno[[#This Row],[Jogos]]</f>
        <v>Internacional x Cruzeiro</v>
      </c>
      <c r="B2" t="str">
        <f>Bruno[[#This Row],[Competição]]</f>
        <v>Brasileirão (19ª rodada)</v>
      </c>
      <c r="C2" t="str">
        <f>Bruno[[#This Row],[Placar Final]]</f>
        <v>1x2 (Carbonero; Kaio Jorge e Matheus Pereira)</v>
      </c>
      <c r="D2" s="10" t="s">
        <v>72</v>
      </c>
      <c r="E2">
        <v>10</v>
      </c>
      <c r="F2" t="s">
        <v>73</v>
      </c>
    </row>
    <row r="3" spans="1:6" x14ac:dyDescent="0.3">
      <c r="A3" t="str">
        <f>Bruno[[#This Row],[Jogos]]</f>
        <v>Cruzeiro x Botafogo</v>
      </c>
      <c r="B3" t="str">
        <f>Bruno[[#This Row],[Competição]]</f>
        <v>Brasileirão (20ª rodada)</v>
      </c>
      <c r="C3" t="str">
        <f>Bruno[[#This Row],[Placar Final]]</f>
        <v>0x1 (Gabriel Justino)</v>
      </c>
      <c r="D3" t="s">
        <v>74</v>
      </c>
      <c r="E3">
        <v>0</v>
      </c>
      <c r="F3" t="s">
        <v>38</v>
      </c>
    </row>
    <row r="4" spans="1:6" x14ac:dyDescent="0.3">
      <c r="A4" t="str">
        <f>Bruno[[#This Row],[Jogos]]</f>
        <v>Grêmio x Fluminense</v>
      </c>
      <c r="B4" t="str">
        <f>Bruno[[#This Row],[Competição]]</f>
        <v>Brasileirão (20ª rodada)</v>
      </c>
      <c r="C4" t="str">
        <f>Bruno[[#This Row],[Placar Final]]</f>
        <v>1x1 (Diego Caito; Hulk)</v>
      </c>
      <c r="D4" t="s">
        <v>75</v>
      </c>
      <c r="E4">
        <v>1</v>
      </c>
      <c r="F4" t="s">
        <v>27</v>
      </c>
    </row>
    <row r="5" spans="1:6" x14ac:dyDescent="0.3">
      <c r="A5" t="str">
        <f>Bruno[[#This Row],[Jogos]]</f>
        <v>Flamengo x São Paulo</v>
      </c>
      <c r="B5" t="str">
        <f>Bruno[[#This Row],[Competição]]</f>
        <v>Brasileirão (20ª rodada)</v>
      </c>
      <c r="C5" t="str">
        <f>Bruno[[#This Row],[Placar Final]]</f>
        <v>1x1 (Léo Pereira; Calleri)</v>
      </c>
      <c r="D5" t="s">
        <v>76</v>
      </c>
      <c r="E5">
        <v>2</v>
      </c>
      <c r="F5" t="s">
        <v>35</v>
      </c>
    </row>
    <row r="6" spans="1:6" x14ac:dyDescent="0.3">
      <c r="A6" t="str">
        <f>Bruno[[#This Row],[Jogos]]</f>
        <v>Palmeiras x Atlético-MG</v>
      </c>
      <c r="B6" t="str">
        <f>Bruno[[#This Row],[Competição]]</f>
        <v>Brasileirão (20ª rodada)</v>
      </c>
      <c r="C6" t="str">
        <f>Bruno[[#This Row],[Placar Final]]</f>
        <v>1x2 (Felipe Anderson; Victor Hugo e Igor Gomes)</v>
      </c>
      <c r="D6" t="s">
        <v>77</v>
      </c>
      <c r="E6">
        <v>0</v>
      </c>
      <c r="F6" t="s">
        <v>38</v>
      </c>
    </row>
    <row r="7" spans="1:6" x14ac:dyDescent="0.3">
      <c r="A7" t="str">
        <f>Bruno[[#This Row],[Jogos]]</f>
        <v>Mirassol x Remo</v>
      </c>
      <c r="B7" t="str">
        <f>Bruno[[#This Row],[Competição]]</f>
        <v>Brasileirão (21ª rodada)</v>
      </c>
      <c r="C7" t="str">
        <f>Bruno[[#This Row],[Placar Final]]</f>
        <v>2x1 (Marllon [contra] e João Victor; Leonel Picco)</v>
      </c>
      <c r="D7" t="s">
        <v>78</v>
      </c>
      <c r="E7">
        <v>1</v>
      </c>
      <c r="F7" t="s">
        <v>27</v>
      </c>
    </row>
    <row r="8" spans="1:6" x14ac:dyDescent="0.3">
      <c r="A8" t="str">
        <f>Bruno[[#This Row],[Jogos]]</f>
        <v>Fluminense x Bahia</v>
      </c>
      <c r="B8" t="str">
        <f>Bruno[[#This Row],[Competição]]</f>
        <v>Brasileirão (21ª rodada)</v>
      </c>
      <c r="C8" t="str">
        <f>Bruno[[#This Row],[Placar Final]]</f>
        <v>0x0</v>
      </c>
      <c r="D8" t="s">
        <v>79</v>
      </c>
      <c r="E8">
        <v>1</v>
      </c>
      <c r="F8" t="s">
        <v>27</v>
      </c>
    </row>
    <row r="9" spans="1:6" x14ac:dyDescent="0.3">
      <c r="A9" t="str">
        <f>Bruno[[#This Row],[Jogos]]</f>
        <v>Vitória x Palmeiras</v>
      </c>
      <c r="B9" t="str">
        <f>Bruno[[#This Row],[Competição]]</f>
        <v>Brasileirão (21ª rodada)</v>
      </c>
      <c r="C9" t="str">
        <f>Bruno[[#This Row],[Placar Final]]</f>
        <v>0x4 (Maurício, Fabiano [contra], Jhon Arias e Sosa)</v>
      </c>
      <c r="D9" t="s">
        <v>80</v>
      </c>
      <c r="E9">
        <v>4</v>
      </c>
      <c r="F9" t="s">
        <v>81</v>
      </c>
    </row>
    <row r="10" spans="1:6" x14ac:dyDescent="0.3">
      <c r="A10" t="str">
        <f>Bruno[[#This Row],[Jogos]]</f>
        <v>Corinthians x Athletico</v>
      </c>
      <c r="B10" t="str">
        <f>Bruno[[#This Row],[Competição]]</f>
        <v>Brasileirão (21ª rodada)</v>
      </c>
      <c r="C10" t="str">
        <f>Bruno[[#This Row],[Placar Final]]</f>
        <v>0x0</v>
      </c>
      <c r="D10" t="s">
        <v>38</v>
      </c>
      <c r="E10">
        <v>0</v>
      </c>
      <c r="F10" t="s">
        <v>38</v>
      </c>
    </row>
    <row r="11" spans="1:6" x14ac:dyDescent="0.3">
      <c r="A11" t="str">
        <f>Bruno[[#This Row],[Jogos]]</f>
        <v>Botafogo x Fluminense</v>
      </c>
      <c r="B11" t="str">
        <f>Bruno[[#This Row],[Competição]]</f>
        <v>Brasileirão (22ª rodada)</v>
      </c>
      <c r="C11" t="str">
        <f>Bruno[[#This Row],[Placar Final]]</f>
        <v>1x1 (Alex Telles; Ignácio)</v>
      </c>
      <c r="D11" t="s">
        <v>82</v>
      </c>
      <c r="E11">
        <v>1</v>
      </c>
      <c r="F11" t="s">
        <v>27</v>
      </c>
    </row>
    <row r="12" spans="1:6" x14ac:dyDescent="0.3">
      <c r="A12" t="str">
        <f>Bruno[[#This Row],[Jogos]]</f>
        <v>PSG x Aston Villa</v>
      </c>
      <c r="B12" t="str">
        <f>Bruno[[#This Row],[Competição]]</f>
        <v>Supercopa da UEFA</v>
      </c>
      <c r="C12" t="str">
        <f>Bruno[[#This Row],[Placar Final]]</f>
        <v>2x1 (Kvaratskhelia e Doué; Madjo)</v>
      </c>
      <c r="D12" s="10" t="s">
        <v>83</v>
      </c>
      <c r="E12">
        <v>9</v>
      </c>
      <c r="F12" t="s">
        <v>84</v>
      </c>
    </row>
    <row r="13" spans="1:6" x14ac:dyDescent="0.3">
      <c r="A13" t="str">
        <f>Bruno[[#This Row],[Jogos]]</f>
        <v>Sevilla x Rayo Vallecano</v>
      </c>
      <c r="B13" t="str">
        <f>Bruno[[#This Row],[Competição]]</f>
        <v>Espanhol (1ª rodada)</v>
      </c>
      <c r="C13" t="str">
        <f>Bruno[[#This Row],[Placar Final]]</f>
        <v>2x1 (Jon Guridi e Gerard Fernández; Alvaro Garcia)</v>
      </c>
      <c r="D13" s="10" t="s">
        <v>85</v>
      </c>
      <c r="E13">
        <v>9</v>
      </c>
      <c r="F13" t="s">
        <v>86</v>
      </c>
    </row>
    <row r="14" spans="1:6" x14ac:dyDescent="0.3">
      <c r="A14" t="str">
        <f>Bruno[[#This Row],[Jogos]]</f>
        <v>Juventude x Fortaleza</v>
      </c>
      <c r="B14" t="str">
        <f>Bruno[[#This Row],[Competição]]</f>
        <v>Brasileirão B (22ª rodada)</v>
      </c>
      <c r="C14" t="str">
        <f>Bruno[[#This Row],[Placar Final]]</f>
        <v>0x0</v>
      </c>
      <c r="D14" t="s">
        <v>87</v>
      </c>
      <c r="E14">
        <v>0</v>
      </c>
      <c r="F14" t="s">
        <v>38</v>
      </c>
    </row>
    <row r="15" spans="1:6" x14ac:dyDescent="0.3">
      <c r="A15" t="str">
        <f>Bruno[[#This Row],[Jogos]]</f>
        <v>Arsenal x Manchester City</v>
      </c>
      <c r="B15" t="str">
        <f>Bruno[[#This Row],[Competição]]</f>
        <v>Supercopa Inglesa</v>
      </c>
      <c r="C15" t="str">
        <f>Bruno[[#This Row],[Placar Final]]</f>
        <v>3x0 (Calafiori, Havertz e Odegaard)</v>
      </c>
      <c r="D15" t="s">
        <v>88</v>
      </c>
      <c r="E15">
        <v>1</v>
      </c>
      <c r="F15" t="s">
        <v>89</v>
      </c>
    </row>
    <row r="16" spans="1:6" x14ac:dyDescent="0.3">
      <c r="A16" t="str">
        <f>Bruno[[#This Row],[Jogos]]</f>
        <v>Lens x PSG</v>
      </c>
      <c r="B16" t="str">
        <f>Bruno[[#This Row],[Competição]]</f>
        <v>Supercopa Francesa</v>
      </c>
      <c r="C16" t="str">
        <f>Bruno[[#This Row],[Placar Final]]</f>
        <v>1x0 (Thauvin)</v>
      </c>
      <c r="D16" t="s">
        <v>90</v>
      </c>
      <c r="E16">
        <v>2</v>
      </c>
      <c r="F16" t="s">
        <v>91</v>
      </c>
    </row>
    <row r="17" spans="1:6" x14ac:dyDescent="0.3">
      <c r="A17" t="str">
        <f>Bruno[[#This Row],[Jogos]]</f>
        <v>Atlético-MG x Grêmio</v>
      </c>
      <c r="B17" t="str">
        <f>Bruno[[#This Row],[Competição]]</f>
        <v>Brasileirão (23ª rodada)</v>
      </c>
      <c r="C17" t="str">
        <f>Bruno[[#This Row],[Placar Final]]</f>
        <v>3x0 (Vitor Hugo e Cuello 2x)</v>
      </c>
      <c r="D17" t="s">
        <v>92</v>
      </c>
      <c r="E17">
        <v>1</v>
      </c>
      <c r="F17" t="s">
        <v>131</v>
      </c>
    </row>
    <row r="18" spans="1:6" x14ac:dyDescent="0.3">
      <c r="A18" t="str">
        <f>Bruno[[#This Row],[Jogos]]</f>
        <v>Arsenal x Coventry City</v>
      </c>
      <c r="B18" t="str">
        <f>Bruno[[#This Row],[Competição]]</f>
        <v>Premier League (1ª rodada)</v>
      </c>
      <c r="C18" t="str">
        <f>Bruno[[#This Row],[Placar Final]]</f>
        <v>3x0 (Havertz, Saka e Odegaard)</v>
      </c>
      <c r="D18" t="s">
        <v>145</v>
      </c>
      <c r="E18">
        <v>3</v>
      </c>
      <c r="F18" t="s">
        <v>152</v>
      </c>
    </row>
    <row r="19" spans="1:6" x14ac:dyDescent="0.3">
      <c r="A19" t="str">
        <f>Bruno[[#This Row],[Jogos]]</f>
        <v>Uberlândia x ABC</v>
      </c>
      <c r="B19" t="str">
        <f>Bruno[[#This Row],[Competição]]</f>
        <v>Brasileirão D (Semifinal)</v>
      </c>
      <c r="C19" t="str">
        <f>Bruno[[#This Row],[Placar Final]]</f>
        <v>1x0 (Marcos Calazans)</v>
      </c>
      <c r="D19" t="s">
        <v>156</v>
      </c>
      <c r="E19">
        <v>1</v>
      </c>
      <c r="F19" t="s">
        <v>27</v>
      </c>
    </row>
    <row r="20" spans="1:6" x14ac:dyDescent="0.3">
      <c r="A20" t="str">
        <f>Bruno[[#This Row],[Jogos]]</f>
        <v>Cruzeiro x Flamengo</v>
      </c>
      <c r="B20" t="str">
        <f>Bruno[[#This Row],[Competição]]</f>
        <v>Brasileirão (24ª rodada)</v>
      </c>
      <c r="C20" t="str">
        <f>Bruno[[#This Row],[Placar Final]]</f>
        <v>2x1 (Arroyo e Matheus Pereira; Pedro)</v>
      </c>
      <c r="D20" t="s">
        <v>159</v>
      </c>
      <c r="E20">
        <v>1</v>
      </c>
      <c r="F20" t="s">
        <v>161</v>
      </c>
    </row>
    <row r="21" spans="1:6" x14ac:dyDescent="0.3">
      <c r="A21" t="str">
        <f>Bruno[[#This Row],[Jogos]]</f>
        <v>Newcastle x Liverpool</v>
      </c>
      <c r="B21" t="str">
        <f>Bruno[[#This Row],[Competição]]</f>
        <v>Premier League (1ª rodada)</v>
      </c>
      <c r="C21" t="str">
        <f>Bruno[[#This Row],[Placar Final]]</f>
        <v>2x2 (Elanga e Willock; Gakpo e Szoboszlai)</v>
      </c>
      <c r="D21" t="s">
        <v>164</v>
      </c>
      <c r="E21">
        <v>2</v>
      </c>
      <c r="F21" t="s">
        <v>166</v>
      </c>
    </row>
    <row r="22" spans="1:6" x14ac:dyDescent="0.3">
      <c r="A22" t="str">
        <f>Bruno[[#This Row],[Jogos]]</f>
        <v>Vitória x Bahia</v>
      </c>
      <c r="B22" t="str">
        <f>Bruno[[#This Row],[Competição]]</f>
        <v>Brasileirão (24ª rodada)</v>
      </c>
      <c r="C22" t="str">
        <f>Bruno[[#This Row],[Placar Final]]</f>
        <v>0x2 (Alejo Véliz e Jean Lucas)</v>
      </c>
      <c r="D22" t="s">
        <v>169</v>
      </c>
      <c r="E22">
        <v>0</v>
      </c>
      <c r="F22" t="s">
        <v>38</v>
      </c>
    </row>
    <row r="23" spans="1:6" x14ac:dyDescent="0.3">
      <c r="A23" t="str">
        <f>Bruno[[#This Row],[Jogos]]</f>
        <v>ASA x Gama</v>
      </c>
      <c r="B23" t="str">
        <f>Bruno[[#This Row],[Competição]]</f>
        <v>Brasileirão D (Semifinal)</v>
      </c>
      <c r="C23" t="str">
        <f>Bruno[[#This Row],[Placar Final]]</f>
        <v>2x0 (Motta e Sammuel)</v>
      </c>
      <c r="D23" t="s">
        <v>173</v>
      </c>
      <c r="E23">
        <v>3</v>
      </c>
      <c r="F23" t="s">
        <v>126</v>
      </c>
    </row>
    <row r="24" spans="1:6" x14ac:dyDescent="0.3">
      <c r="A24" t="str">
        <f>Bruno[[#This Row],[Jogos]]</f>
        <v>Criciúma x Fortaleza</v>
      </c>
      <c r="B24" t="str">
        <f>Bruno[[#This Row],[Competição]]</f>
        <v>Brasileirão B (24ª rodada)</v>
      </c>
      <c r="C24" t="str">
        <f>Bruno[[#This Row],[Placar Final]]</f>
        <v>0x2 (Pedro Henrique e Paulo Baya)</v>
      </c>
      <c r="D24" t="s">
        <v>177</v>
      </c>
      <c r="E24">
        <v>0</v>
      </c>
      <c r="F24" t="s">
        <v>38</v>
      </c>
    </row>
    <row r="25" spans="1:6" x14ac:dyDescent="0.3">
      <c r="A25" t="str">
        <f>Bruno[[#This Row],[Jogos]]</f>
        <v>Fulham x Chelsea</v>
      </c>
      <c r="B25" t="str">
        <f>Bruno[[#This Row],[Competição]]</f>
        <v>Premier League (1ª rodada)</v>
      </c>
      <c r="C25" t="str">
        <f>Bruno[[#This Row],[Placar Final]]</f>
        <v>2x3 (King e Gonzalo Garcia; João Pedro, Rogers e Palmer)</v>
      </c>
      <c r="D25" t="s">
        <v>180</v>
      </c>
      <c r="E25">
        <v>4</v>
      </c>
      <c r="F25" t="s">
        <v>185</v>
      </c>
    </row>
    <row r="26" spans="1:6" x14ac:dyDescent="0.3">
      <c r="A26" t="str">
        <f>Bruno[[#This Row],[Jogos]]</f>
        <v>Tottenham x Newcastle</v>
      </c>
      <c r="B26" t="str">
        <f>Bruno[[#This Row],[Competição]]</f>
        <v>Premier League (2ª rodada)</v>
      </c>
      <c r="C26" t="str">
        <f>Bruno[[#This Row],[Placar Final]]</f>
        <v>0x2 (Elanga e Wissa)</v>
      </c>
      <c r="D26" t="s">
        <v>191</v>
      </c>
      <c r="E26">
        <v>1</v>
      </c>
      <c r="F26" t="s">
        <v>192</v>
      </c>
    </row>
    <row r="27" spans="1:6" x14ac:dyDescent="0.3">
      <c r="A27" t="str">
        <f>Bruno[[#This Row],[Jogos]]</f>
        <v>Flamengo x Botafogo</v>
      </c>
      <c r="B27" t="str">
        <f>Bruno[[#This Row],[Competição]]</f>
        <v>Brasileirão (25ª rodada)</v>
      </c>
      <c r="C27" t="str">
        <f>Bruno[[#This Row],[Placar Final]]</f>
        <v>3x0 (Samuel Lino 2x e Carrascal)</v>
      </c>
      <c r="D27" t="s">
        <v>206</v>
      </c>
      <c r="E27">
        <v>2</v>
      </c>
      <c r="F27" t="s">
        <v>132</v>
      </c>
    </row>
    <row r="28" spans="1:6" x14ac:dyDescent="0.3">
      <c r="A28" t="str">
        <f>Bruno[[#This Row],[Jogos]]</f>
        <v>Corinthians x Santos</v>
      </c>
      <c r="B28" t="str">
        <f>Bruno[[#This Row],[Competição]]</f>
        <v>Brasileirão (25ª rodada)</v>
      </c>
      <c r="C28" t="str">
        <f>Bruno[[#This Row],[Placar Final]]</f>
        <v>0x1 (Oliva)</v>
      </c>
      <c r="D28" t="s">
        <v>207</v>
      </c>
      <c r="E28">
        <v>0</v>
      </c>
      <c r="F28" t="s">
        <v>38</v>
      </c>
    </row>
    <row r="29" spans="1:6" x14ac:dyDescent="0.3">
      <c r="A29" t="str">
        <f>Bruno[[#This Row],[Jogos]]</f>
        <v>Gama x ASA</v>
      </c>
      <c r="B29" t="str">
        <f>Bruno[[#This Row],[Competição]]</f>
        <v>Brasileirão D (Semifinal)</v>
      </c>
      <c r="C29" t="str">
        <f>Bruno[[#This Row],[Placar Final]]</f>
        <v>0x0</v>
      </c>
      <c r="D29" t="s">
        <v>208</v>
      </c>
      <c r="E29">
        <v>3</v>
      </c>
      <c r="F29" t="s">
        <v>63</v>
      </c>
    </row>
    <row r="30" spans="1:6" x14ac:dyDescent="0.3">
      <c r="A30" t="str">
        <f>Bruno[[#This Row],[Jogos]]</f>
        <v>ABC x Uberlândia</v>
      </c>
      <c r="B30" t="str">
        <f>Bruno[[#This Row],[Competição]]</f>
        <v>Brasileirão D (Semifinal)</v>
      </c>
      <c r="C30" t="str">
        <f>Bruno[[#This Row],[Placar Final]]</f>
        <v>1x1 (Jhosefer; Tomas Bastos)</v>
      </c>
      <c r="D30" t="s">
        <v>213</v>
      </c>
      <c r="E30">
        <v>1</v>
      </c>
      <c r="F30" t="s">
        <v>27</v>
      </c>
    </row>
    <row r="31" spans="1:6" x14ac:dyDescent="0.3">
      <c r="A31" t="str">
        <f>Bruno[[#This Row],[Jogos]]</f>
        <v>Remo x Coritiba</v>
      </c>
      <c r="B31" t="str">
        <f>Bruno[[#This Row],[Competição]]</f>
        <v>Brasileirão (25ª rodada)</v>
      </c>
      <c r="C31" t="str">
        <f>Bruno[[#This Row],[Placar Final]]</f>
        <v>2x3 (Zé Ricardo e Yago Pikachu; Zé Welison [contra], Fabinho e Pedro Rocha)</v>
      </c>
      <c r="D31" t="s">
        <v>217</v>
      </c>
      <c r="E31">
        <v>4</v>
      </c>
      <c r="F31" t="s">
        <v>218</v>
      </c>
    </row>
    <row r="32" spans="1:6" x14ac:dyDescent="0.3">
      <c r="A32" t="str">
        <f>Bruno[[#This Row],[Jogos]]</f>
        <v>Real Bétis x Real Madrid</v>
      </c>
      <c r="B32" t="str">
        <f>Bruno[[#This Row],[Competição]]</f>
        <v>Espanhol (4ª rodada)</v>
      </c>
      <c r="C32" t="str">
        <f>Bruno[[#This Row],[Placar Final]]</f>
        <v>1x0 (Troy Parrott)</v>
      </c>
      <c r="D32" t="s">
        <v>228</v>
      </c>
      <c r="E32">
        <v>1</v>
      </c>
      <c r="F32" t="s">
        <v>27</v>
      </c>
    </row>
    <row r="33" spans="1:6" x14ac:dyDescent="0.3">
      <c r="A33" t="str">
        <f>Bruno[[#This Row],[Jogos]]</f>
        <v>PSG X Mônaco</v>
      </c>
      <c r="B33" t="str">
        <f>Bruno[[#This Row],[Competição]]</f>
        <v>Francês (3ª rodada)</v>
      </c>
      <c r="C33" t="str">
        <f>Bruno[[#This Row],[Placar Final]]</f>
        <v>1x2 (Marquinhos; Nazinho e Idumbo)</v>
      </c>
      <c r="D33" t="s">
        <v>229</v>
      </c>
      <c r="E33">
        <v>0</v>
      </c>
      <c r="F33" t="s">
        <v>38</v>
      </c>
    </row>
    <row r="34" spans="1:6" x14ac:dyDescent="0.3">
      <c r="A34" t="str">
        <f>Bruno[[#This Row],[Jogos]]</f>
        <v>Red Bull Bragantino x Bahia</v>
      </c>
      <c r="B34" t="str">
        <f>Bruno[[#This Row],[Competição]]</f>
        <v>Brasileirão (26ª rodada)</v>
      </c>
      <c r="C34" t="str">
        <f>Bruno[[#This Row],[Placar Final]]</f>
        <v>2x3 (Lucas Barbosa e Ramos Mingo [contra]; Luciano Juba, Alejo Véliz e Erick)</v>
      </c>
      <c r="D34" t="s">
        <v>236</v>
      </c>
      <c r="E34">
        <v>1</v>
      </c>
      <c r="F34" t="s">
        <v>240</v>
      </c>
    </row>
    <row r="35" spans="1:6" x14ac:dyDescent="0.3">
      <c r="A35" t="str">
        <f>Bruno[[#This Row],[Jogos]]</f>
        <v>Fluminense x Vasco</v>
      </c>
      <c r="B35" t="str">
        <f>Bruno[[#This Row],[Competição]]</f>
        <v>Brasileirão (26ª rodada)</v>
      </c>
      <c r="C35" t="str">
        <f>Bruno[[#This Row],[Placar Final]]</f>
        <v>1x0 (Lucho Acosta)</v>
      </c>
      <c r="D35" t="s">
        <v>254</v>
      </c>
      <c r="E35">
        <v>0</v>
      </c>
      <c r="F35" t="s">
        <v>38</v>
      </c>
    </row>
    <row r="36" spans="1:6" x14ac:dyDescent="0.3">
      <c r="A36" t="str">
        <f>Bruno[[#This Row],[Jogos]]</f>
        <v>Arsenal x Chelsea</v>
      </c>
      <c r="B36" t="str">
        <f>Bruno[[#This Row],[Competição]]</f>
        <v>Premier League (3ª rodada)</v>
      </c>
      <c r="C36" t="str">
        <f>Bruno[[#This Row],[Placar Final]]</f>
        <v>2x1 (Havertz e Odegaard; Rogers)</v>
      </c>
      <c r="D36" s="10" t="s">
        <v>257</v>
      </c>
      <c r="E36">
        <v>10</v>
      </c>
      <c r="F36" t="s">
        <v>261</v>
      </c>
    </row>
    <row r="37" spans="1:6" x14ac:dyDescent="0.3">
      <c r="A37" t="str">
        <f>Bruno[[#This Row],[Jogos]]</f>
        <v>Juventus x Milan</v>
      </c>
      <c r="B37" t="str">
        <f>Bruno[[#This Row],[Competição]]</f>
        <v>Serie A TIM (3ª rodada)</v>
      </c>
      <c r="C37" t="str">
        <f>Bruno[[#This Row],[Placar Final]]</f>
        <v>1x1 (Federico Gatti; Alphadjo Cisse)</v>
      </c>
      <c r="D37" t="s">
        <v>262</v>
      </c>
      <c r="E37">
        <v>1</v>
      </c>
      <c r="F37" t="s">
        <v>27</v>
      </c>
    </row>
    <row r="38" spans="1:6" x14ac:dyDescent="0.3">
      <c r="A38" t="str">
        <f>Bruno[[#This Row],[Jogos]]</f>
        <v>Cruzeiro x Athletico</v>
      </c>
      <c r="B38" t="str">
        <f>Bruno[[#This Row],[Competição]]</f>
        <v>Brasileirão (26ª rodada)</v>
      </c>
      <c r="C38" t="str">
        <f>Bruno[[#This Row],[Placar Final]]</f>
        <v>3x1 (Matheus Pereira, Lucas Romero e Kaio Jorge; João Cruz)</v>
      </c>
      <c r="D38" t="s">
        <v>266</v>
      </c>
      <c r="E38">
        <v>5</v>
      </c>
      <c r="F38" t="s">
        <v>272</v>
      </c>
    </row>
    <row r="39" spans="1:6" x14ac:dyDescent="0.3">
      <c r="A39" t="str">
        <f>Bruno[[#This Row],[Jogos]]</f>
        <v>ASA x Uberlândia</v>
      </c>
      <c r="B39" t="str">
        <f>Bruno[[#This Row],[Competição]]</f>
        <v>Brasileirão D (Final)</v>
      </c>
      <c r="C39" t="str">
        <f>Bruno[[#This Row],[Placar Final]]</f>
        <v>0x1 (Ferreira [contra])</v>
      </c>
      <c r="D39" t="s">
        <v>38</v>
      </c>
      <c r="E39">
        <v>0</v>
      </c>
      <c r="F39" t="s">
        <v>38</v>
      </c>
    </row>
    <row r="40" spans="1:6" x14ac:dyDescent="0.3">
      <c r="A40" t="str">
        <f>Bruno[[#This Row],[Jogos]]</f>
        <v>Botafogo x Palmeiras</v>
      </c>
      <c r="B40" t="str">
        <f>Bruno[[#This Row],[Competição]]</f>
        <v>Brasileirão (26ª rodada)</v>
      </c>
      <c r="C40" t="str">
        <f>Bruno[[#This Row],[Placar Final]]</f>
        <v>0x0</v>
      </c>
      <c r="D40" t="s">
        <v>38</v>
      </c>
      <c r="E40">
        <v>0</v>
      </c>
      <c r="F40" t="s">
        <v>38</v>
      </c>
    </row>
    <row r="41" spans="1:6" x14ac:dyDescent="0.3">
      <c r="A41" t="str">
        <f>Bruno[[#This Row],[Jogos]]</f>
        <v>Club Brugge x Aston Villa</v>
      </c>
      <c r="B41" t="str">
        <f>Bruno[[#This Row],[Competição]]</f>
        <v>Champions (1ª rodada)</v>
      </c>
      <c r="C41" t="str">
        <f>Bruno[[#This Row],[Placar Final]]</f>
        <v>2x3 (Vetlesen e Tresoldi; McGinn, Buendía e Nicolas Jackson)</v>
      </c>
      <c r="D41" s="10" t="s">
        <v>279</v>
      </c>
      <c r="E41">
        <v>11</v>
      </c>
      <c r="F41" t="s">
        <v>285</v>
      </c>
    </row>
    <row r="42" spans="1:6" x14ac:dyDescent="0.3">
      <c r="A42" t="str">
        <f>Bruno[[#This Row],[Jogos]]</f>
        <v>Real Madrid x Internazionale</v>
      </c>
      <c r="B42" t="str">
        <f>Bruno[[#This Row],[Competição]]</f>
        <v>Champions (1ª rodada)</v>
      </c>
      <c r="C42" t="str">
        <f>Bruno[[#This Row],[Placar Final]]</f>
        <v>2x1 (Mbappé e Valverde; Carlos Augusto)</v>
      </c>
      <c r="D42" s="10" t="s">
        <v>288</v>
      </c>
      <c r="E42">
        <v>9</v>
      </c>
      <c r="F42" t="s">
        <v>290</v>
      </c>
    </row>
    <row r="43" spans="1:6" x14ac:dyDescent="0.3">
      <c r="A43" t="str">
        <f>Bruno[[#This Row],[Jogos]]</f>
        <v>Napoli x Arsenal</v>
      </c>
      <c r="B43" t="str">
        <f>Bruno[[#This Row],[Competição]]</f>
        <v>Champions (1ª rodada)</v>
      </c>
      <c r="C43" t="str">
        <f>Bruno[[#This Row],[Placar Final]]</f>
        <v>0x1 (Odegaard)</v>
      </c>
      <c r="D43" t="s">
        <v>38</v>
      </c>
      <c r="E43">
        <v>0</v>
      </c>
      <c r="F43" t="s">
        <v>38</v>
      </c>
    </row>
    <row r="44" spans="1:6" x14ac:dyDescent="0.3">
      <c r="A44" t="str">
        <f>Bruno[[#This Row],[Jogos]]</f>
        <v>Liverpool x Atlético de Madrid</v>
      </c>
      <c r="B44" t="str">
        <f>Bruno[[#This Row],[Competição]]</f>
        <v>Champions (1ª rodada)</v>
      </c>
      <c r="C44" t="str">
        <f>Bruno[[#This Row],[Placar Final]]</f>
        <v>2x1 (Szoboszlai e Mac Allister; Llorente)</v>
      </c>
      <c r="D44" t="s">
        <v>38</v>
      </c>
      <c r="E44">
        <v>0</v>
      </c>
      <c r="F44" t="s">
        <v>38</v>
      </c>
    </row>
    <row r="45" spans="1:6" x14ac:dyDescent="0.3">
      <c r="A45" t="str">
        <f>Bruno[[#This Row],[Jogos]]</f>
        <v>Coritiba x Athletico</v>
      </c>
      <c r="B45" t="str">
        <f>Bruno[[#This Row],[Competição]]</f>
        <v>Brasileirão (27ª rodada)</v>
      </c>
      <c r="C45" t="str">
        <f>Bruno[[#This Row],[Placar Final]]</f>
        <v>3x3 (Tiago Coser e Rodrigo Moledo 2x; Luiz Gustavo, Arthur Dias e Viveros)</v>
      </c>
      <c r="D45" t="s">
        <v>302</v>
      </c>
      <c r="E45">
        <v>1</v>
      </c>
      <c r="F45" t="s">
        <v>27</v>
      </c>
    </row>
    <row r="46" spans="1:6" x14ac:dyDescent="0.3">
      <c r="A46" t="str">
        <f>Bruno[[#This Row],[Jogos]]</f>
        <v>Aston Villa x Nottingham Forest</v>
      </c>
      <c r="B46" t="str">
        <f>Bruno[[#This Row],[Competição]]</f>
        <v>Premier League (4ª rodada)</v>
      </c>
      <c r="C46" t="str">
        <f>Bruno[[#This Row],[Placar Final]]</f>
        <v>1x2 (Alysson; Delap e Igor Jesus)</v>
      </c>
      <c r="D46" t="s">
        <v>323</v>
      </c>
      <c r="E46">
        <v>0</v>
      </c>
      <c r="F46" t="s">
        <v>38</v>
      </c>
    </row>
    <row r="47" spans="1:6" x14ac:dyDescent="0.3">
      <c r="A47" t="str">
        <f>Bruno[[#This Row],[Jogos]]</f>
        <v>Lazio x Milan</v>
      </c>
      <c r="B47" t="str">
        <f>Bruno[[#This Row],[Competição]]</f>
        <v>Serie A TIM (4ª rodada)</v>
      </c>
      <c r="C47" t="str">
        <f>Bruno[[#This Row],[Placar Final]]</f>
        <v>2x2 (Cancellieri e Noslin; Diego Moreira 2x)</v>
      </c>
      <c r="D47" t="s">
        <v>324</v>
      </c>
      <c r="E47">
        <v>1</v>
      </c>
      <c r="F47" t="s">
        <v>27</v>
      </c>
    </row>
    <row r="48" spans="1:6" x14ac:dyDescent="0.3">
      <c r="A48" t="str">
        <f>Bruno[[#This Row],[Jogos]]</f>
        <v>Tottenham x Everton</v>
      </c>
      <c r="B48" t="str">
        <f>Bruno[[#This Row],[Competição]]</f>
        <v>Premier League (4ª rodada)</v>
      </c>
      <c r="C48" t="str">
        <f>Bruno[[#This Row],[Placar Final]]</f>
        <v>0x0</v>
      </c>
      <c r="D48" t="s">
        <v>325</v>
      </c>
      <c r="E48">
        <v>3</v>
      </c>
      <c r="F48" t="s">
        <v>63</v>
      </c>
    </row>
    <row r="49" spans="1:6" x14ac:dyDescent="0.3">
      <c r="A49" t="str">
        <f>Bruno[[#This Row],[Jogos]]</f>
        <v>Palmeiras x São Paulo</v>
      </c>
      <c r="B49" t="str">
        <f>Bruno[[#This Row],[Competição]]</f>
        <v>Brasileirão (27ª rodada)</v>
      </c>
      <c r="C49" t="str">
        <f>Bruno[[#This Row],[Placar Final]]</f>
        <v>2x0 (Murilo e Vitor Roque)</v>
      </c>
      <c r="D49" t="s">
        <v>330</v>
      </c>
      <c r="E49">
        <v>4</v>
      </c>
      <c r="F49" t="s">
        <v>333</v>
      </c>
    </row>
    <row r="50" spans="1:6" x14ac:dyDescent="0.3">
      <c r="A50" t="str">
        <f>Bruno[[#This Row],[Jogos]]</f>
        <v>Santos x Cruzeiro</v>
      </c>
      <c r="B50" t="str">
        <f>Bruno[[#This Row],[Competição]]</f>
        <v>Brasileirão (27ª rodada)</v>
      </c>
      <c r="C50" t="str">
        <f>Bruno[[#This Row],[Placar Final]]</f>
        <v>2x1 (Rollheiser e Fabricio Bruno [contra]; Matheus Pereira)</v>
      </c>
      <c r="D50" t="s">
        <v>335</v>
      </c>
      <c r="E50">
        <v>0</v>
      </c>
      <c r="F50" t="s">
        <v>38</v>
      </c>
    </row>
    <row r="51" spans="1:6" x14ac:dyDescent="0.3">
      <c r="A51" t="str">
        <f>Bruno[[#This Row],[Jogos]]</f>
        <v>Manchester United x Manchester City</v>
      </c>
      <c r="B51" t="str">
        <f>Bruno[[#This Row],[Competição]]</f>
        <v>Premier League (4ª rodada)</v>
      </c>
      <c r="C51" t="str">
        <f>Bruno[[#This Row],[Placar Final]]</f>
        <v>0x1 (Haaland)</v>
      </c>
      <c r="D51" t="s">
        <v>343</v>
      </c>
      <c r="E51">
        <v>3</v>
      </c>
      <c r="F51" t="s">
        <v>344</v>
      </c>
    </row>
    <row r="52" spans="1:6" x14ac:dyDescent="0.3">
      <c r="A52" t="str">
        <f>Bruno[[#This Row],[Jogos]]</f>
        <v>Uberlândia x ASA</v>
      </c>
      <c r="B52" t="str">
        <f>Bruno[[#This Row],[Competição]]</f>
        <v>Brasileirão D (Final)</v>
      </c>
      <c r="C52" t="str">
        <f>Bruno[[#This Row],[Placar Final]]</f>
        <v>1x1 (Marcos Calazans; Michel Douglas)</v>
      </c>
      <c r="D52" t="s">
        <v>38</v>
      </c>
      <c r="E52">
        <v>0</v>
      </c>
      <c r="F52" t="s">
        <v>38</v>
      </c>
    </row>
    <row r="53" spans="1:6" x14ac:dyDescent="0.3">
      <c r="A53" t="str">
        <f>Bruno[[#This Row],[Jogos]]</f>
        <v>Flamengo x Corinthians</v>
      </c>
      <c r="B53" t="str">
        <f>Bruno[[#This Row],[Competição]]</f>
        <v>Brasileirão (27ª rodada)</v>
      </c>
      <c r="C53" t="str">
        <f>Bruno[[#This Row],[Placar Final]]</f>
        <v>2x1 (Lucas Paquetá e Bruno Henrique; Gui Negão)</v>
      </c>
      <c r="D53" t="s">
        <v>347</v>
      </c>
      <c r="E53">
        <v>3</v>
      </c>
      <c r="F53" t="s">
        <v>126</v>
      </c>
    </row>
    <row r="54" spans="1:6" x14ac:dyDescent="0.3">
      <c r="A54" t="str">
        <f>Bruno[[#This Row],[Jogos]]</f>
        <v>Liverpool x Tottenham</v>
      </c>
      <c r="B54" t="str">
        <f>Bruno[[#This Row],[Competição]]</f>
        <v>Copa da Liga Inglesa (3ª rodada)</v>
      </c>
      <c r="C54" t="str">
        <f>Bruno[[#This Row],[Placar Final]]</f>
        <v>3x1 (Mac Allister,Gakpo e Szoboszlai; Gallagher)</v>
      </c>
      <c r="D54" t="s">
        <v>358</v>
      </c>
      <c r="E54">
        <v>5</v>
      </c>
      <c r="F54" t="s">
        <v>360</v>
      </c>
    </row>
    <row r="55" spans="1:6" x14ac:dyDescent="0.3">
      <c r="A55" t="s">
        <v>2</v>
      </c>
      <c r="E55">
        <f>SUBTOTAL(109,Davi[Pontuação])</f>
        <v>125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3BD6-99B8-48E5-BEFB-D6420131C8CE}">
  <dimension ref="A1:F55"/>
  <sheetViews>
    <sheetView workbookViewId="0">
      <pane ySplit="1" topLeftCell="A35" activePane="bottomLeft" state="frozen"/>
      <selection activeCell="B1" sqref="B1"/>
      <selection pane="bottomLeft" activeCell="A57" sqref="A57"/>
    </sheetView>
  </sheetViews>
  <sheetFormatPr defaultColWidth="12.83203125" defaultRowHeight="13.5" x14ac:dyDescent="0.3"/>
  <cols>
    <col min="1" max="1" width="36.33203125" bestFit="1" customWidth="1"/>
    <col min="2" max="2" width="32.5" bestFit="1" customWidth="1"/>
    <col min="3" max="3" width="73.33203125" bestFit="1" customWidth="1"/>
    <col min="4" max="4" width="75.5" bestFit="1" customWidth="1"/>
    <col min="5" max="5" width="13.6640625" bestFit="1" customWidth="1"/>
    <col min="6" max="6" width="64.5" bestFit="1" customWidth="1"/>
  </cols>
  <sheetData>
    <row r="1" spans="1:6" x14ac:dyDescent="0.3">
      <c r="A1" s="2" t="s">
        <v>12</v>
      </c>
      <c r="B1" s="9" t="s">
        <v>13</v>
      </c>
      <c r="C1" s="1" t="s">
        <v>14</v>
      </c>
      <c r="D1" t="s">
        <v>15</v>
      </c>
      <c r="E1" t="s">
        <v>16</v>
      </c>
      <c r="F1" t="s">
        <v>17</v>
      </c>
    </row>
    <row r="2" spans="1:6" x14ac:dyDescent="0.3">
      <c r="A2" t="str">
        <f>Bruno[[#This Row],[Jogos]]</f>
        <v>Internacional x Cruzeiro</v>
      </c>
      <c r="B2" t="str">
        <f>Bruno[[#This Row],[Competição]]</f>
        <v>Brasileirão (19ª rodada)</v>
      </c>
      <c r="C2" t="str">
        <f>Bruno[[#This Row],[Placar Final]]</f>
        <v>1x2 (Carbonero; Kaio Jorge e Matheus Pereira)</v>
      </c>
      <c r="D2" t="s">
        <v>93</v>
      </c>
      <c r="E2">
        <v>2</v>
      </c>
      <c r="F2" t="s">
        <v>94</v>
      </c>
    </row>
    <row r="3" spans="1:6" x14ac:dyDescent="0.3">
      <c r="A3" t="str">
        <f>Bruno[[#This Row],[Jogos]]</f>
        <v>Cruzeiro x Botafogo</v>
      </c>
      <c r="B3" t="str">
        <f>Bruno[[#This Row],[Competição]]</f>
        <v>Brasileirão (20ª rodada)</v>
      </c>
      <c r="C3" t="str">
        <f>Bruno[[#This Row],[Placar Final]]</f>
        <v>0x1 (Gabriel Justino)</v>
      </c>
      <c r="D3" t="s">
        <v>95</v>
      </c>
      <c r="E3">
        <v>1</v>
      </c>
      <c r="F3" t="s">
        <v>27</v>
      </c>
    </row>
    <row r="4" spans="1:6" x14ac:dyDescent="0.3">
      <c r="A4" t="str">
        <f>Bruno[[#This Row],[Jogos]]</f>
        <v>Grêmio x Fluminense</v>
      </c>
      <c r="B4" t="str">
        <f>Bruno[[#This Row],[Competição]]</f>
        <v>Brasileirão (20ª rodada)</v>
      </c>
      <c r="C4" t="str">
        <f>Bruno[[#This Row],[Placar Final]]</f>
        <v>1x1 (Diego Caito; Hulk)</v>
      </c>
      <c r="D4" t="s">
        <v>96</v>
      </c>
      <c r="E4">
        <v>3</v>
      </c>
      <c r="F4" t="s">
        <v>97</v>
      </c>
    </row>
    <row r="5" spans="1:6" x14ac:dyDescent="0.3">
      <c r="A5" t="str">
        <f>Bruno[[#This Row],[Jogos]]</f>
        <v>Flamengo x São Paulo</v>
      </c>
      <c r="B5" t="str">
        <f>Bruno[[#This Row],[Competição]]</f>
        <v>Brasileirão (20ª rodada)</v>
      </c>
      <c r="C5" t="str">
        <f>Bruno[[#This Row],[Placar Final]]</f>
        <v>1x1 (Léo Pereira; Calleri)</v>
      </c>
      <c r="D5" t="s">
        <v>98</v>
      </c>
      <c r="E5">
        <v>0</v>
      </c>
      <c r="F5" t="s">
        <v>38</v>
      </c>
    </row>
    <row r="6" spans="1:6" x14ac:dyDescent="0.3">
      <c r="A6" t="str">
        <f>Bruno[[#This Row],[Jogos]]</f>
        <v>Palmeiras x Atlético-MG</v>
      </c>
      <c r="B6" t="str">
        <f>Bruno[[#This Row],[Competição]]</f>
        <v>Brasileirão (20ª rodada)</v>
      </c>
      <c r="C6" t="str">
        <f>Bruno[[#This Row],[Placar Final]]</f>
        <v>1x2 (Felipe Anderson; Victor Hugo e Igor Gomes)</v>
      </c>
      <c r="D6" t="s">
        <v>99</v>
      </c>
      <c r="E6">
        <v>0</v>
      </c>
      <c r="F6" t="s">
        <v>38</v>
      </c>
    </row>
    <row r="7" spans="1:6" x14ac:dyDescent="0.3">
      <c r="A7" t="str">
        <f>Bruno[[#This Row],[Jogos]]</f>
        <v>Mirassol x Remo</v>
      </c>
      <c r="B7" t="str">
        <f>Bruno[[#This Row],[Competição]]</f>
        <v>Brasileirão (21ª rodada)</v>
      </c>
      <c r="C7" t="str">
        <f>Bruno[[#This Row],[Placar Final]]</f>
        <v>2x1 (Marllon [contra] e João Victor; Leonel Picco)</v>
      </c>
      <c r="D7" t="s">
        <v>100</v>
      </c>
      <c r="E7">
        <v>3</v>
      </c>
      <c r="F7" t="s">
        <v>43</v>
      </c>
    </row>
    <row r="8" spans="1:6" x14ac:dyDescent="0.3">
      <c r="A8" t="str">
        <f>Bruno[[#This Row],[Jogos]]</f>
        <v>Fluminense x Bahia</v>
      </c>
      <c r="B8" t="str">
        <f>Bruno[[#This Row],[Competição]]</f>
        <v>Brasileirão (21ª rodada)</v>
      </c>
      <c r="C8" t="str">
        <f>Bruno[[#This Row],[Placar Final]]</f>
        <v>0x0</v>
      </c>
      <c r="D8" t="s">
        <v>101</v>
      </c>
      <c r="E8">
        <v>0</v>
      </c>
      <c r="F8" t="s">
        <v>38</v>
      </c>
    </row>
    <row r="9" spans="1:6" x14ac:dyDescent="0.3">
      <c r="A9" t="str">
        <f>Bruno[[#This Row],[Jogos]]</f>
        <v>Vitória x Palmeiras</v>
      </c>
      <c r="B9" t="str">
        <f>Bruno[[#This Row],[Competição]]</f>
        <v>Brasileirão (21ª rodada)</v>
      </c>
      <c r="C9" t="str">
        <f>Bruno[[#This Row],[Placar Final]]</f>
        <v>0x4 (Maurício, Fabiano [contra], Jhon Arias e Sosa)</v>
      </c>
      <c r="D9" t="s">
        <v>102</v>
      </c>
      <c r="E9">
        <v>3</v>
      </c>
      <c r="F9" t="s">
        <v>103</v>
      </c>
    </row>
    <row r="10" spans="1:6" x14ac:dyDescent="0.3">
      <c r="A10" t="str">
        <f>Bruno[[#This Row],[Jogos]]</f>
        <v>Corinthians x Athletico</v>
      </c>
      <c r="B10" t="str">
        <f>Bruno[[#This Row],[Competição]]</f>
        <v>Brasileirão (21ª rodada)</v>
      </c>
      <c r="C10" t="str">
        <f>Bruno[[#This Row],[Placar Final]]</f>
        <v>0x0</v>
      </c>
      <c r="D10" t="s">
        <v>104</v>
      </c>
      <c r="E10">
        <v>1</v>
      </c>
      <c r="F10" t="s">
        <v>27</v>
      </c>
    </row>
    <row r="11" spans="1:6" x14ac:dyDescent="0.3">
      <c r="A11" t="str">
        <f>Bruno[[#This Row],[Jogos]]</f>
        <v>Botafogo x Fluminense</v>
      </c>
      <c r="B11" t="str">
        <f>Bruno[[#This Row],[Competição]]</f>
        <v>Brasileirão (22ª rodada)</v>
      </c>
      <c r="C11" t="str">
        <f>Bruno[[#This Row],[Placar Final]]</f>
        <v>1x1 (Alex Telles; Ignácio)</v>
      </c>
      <c r="D11" t="s">
        <v>105</v>
      </c>
      <c r="E11">
        <v>6</v>
      </c>
      <c r="F11" t="s">
        <v>106</v>
      </c>
    </row>
    <row r="12" spans="1:6" x14ac:dyDescent="0.3">
      <c r="A12" t="str">
        <f>Bruno[[#This Row],[Jogos]]</f>
        <v>PSG x Aston Villa</v>
      </c>
      <c r="B12" t="str">
        <f>Bruno[[#This Row],[Competição]]</f>
        <v>Supercopa da UEFA</v>
      </c>
      <c r="C12" t="str">
        <f>Bruno[[#This Row],[Placar Final]]</f>
        <v>2x1 (Kvaratskhelia e Doué; Madjo)</v>
      </c>
      <c r="D12" t="s">
        <v>107</v>
      </c>
      <c r="E12">
        <v>4</v>
      </c>
      <c r="F12" t="s">
        <v>108</v>
      </c>
    </row>
    <row r="13" spans="1:6" x14ac:dyDescent="0.3">
      <c r="A13" t="str">
        <f>Bruno[[#This Row],[Jogos]]</f>
        <v>Sevilla x Rayo Vallecano</v>
      </c>
      <c r="B13" t="str">
        <f>Bruno[[#This Row],[Competição]]</f>
        <v>Espanhol (1ª rodada)</v>
      </c>
      <c r="C13" t="str">
        <f>Bruno[[#This Row],[Placar Final]]</f>
        <v>2x1 (Jon Guridi e Gerard Fernández; Alvaro Garcia)</v>
      </c>
      <c r="D13" t="s">
        <v>38</v>
      </c>
      <c r="E13">
        <v>0</v>
      </c>
      <c r="F13" t="s">
        <v>38</v>
      </c>
    </row>
    <row r="14" spans="1:6" x14ac:dyDescent="0.3">
      <c r="A14" t="str">
        <f>Bruno[[#This Row],[Jogos]]</f>
        <v>Juventude x Fortaleza</v>
      </c>
      <c r="B14" t="str">
        <f>Bruno[[#This Row],[Competição]]</f>
        <v>Brasileirão B (22ª rodada)</v>
      </c>
      <c r="C14" t="str">
        <f>Bruno[[#This Row],[Placar Final]]</f>
        <v>0x0</v>
      </c>
      <c r="D14" t="s">
        <v>109</v>
      </c>
      <c r="E14">
        <v>3</v>
      </c>
      <c r="F14" t="s">
        <v>63</v>
      </c>
    </row>
    <row r="15" spans="1:6" x14ac:dyDescent="0.3">
      <c r="A15" t="str">
        <f>Bruno[[#This Row],[Jogos]]</f>
        <v>Arsenal x Manchester City</v>
      </c>
      <c r="B15" t="str">
        <f>Bruno[[#This Row],[Competição]]</f>
        <v>Supercopa Inglesa</v>
      </c>
      <c r="C15" t="str">
        <f>Bruno[[#This Row],[Placar Final]]</f>
        <v>3x0 (Calafiori, Havertz e Odegaard)</v>
      </c>
      <c r="D15" t="s">
        <v>110</v>
      </c>
      <c r="E15">
        <v>1</v>
      </c>
      <c r="F15" t="s">
        <v>89</v>
      </c>
    </row>
    <row r="16" spans="1:6" x14ac:dyDescent="0.3">
      <c r="A16" t="str">
        <f>Bruno[[#This Row],[Jogos]]</f>
        <v>Lens x PSG</v>
      </c>
      <c r="B16" t="str">
        <f>Bruno[[#This Row],[Competição]]</f>
        <v>Supercopa Francesa</v>
      </c>
      <c r="C16" t="str">
        <f>Bruno[[#This Row],[Placar Final]]</f>
        <v>1x0 (Thauvin)</v>
      </c>
      <c r="D16" t="s">
        <v>111</v>
      </c>
      <c r="E16">
        <v>2</v>
      </c>
      <c r="F16" t="s">
        <v>91</v>
      </c>
    </row>
    <row r="17" spans="1:6" x14ac:dyDescent="0.3">
      <c r="A17" t="str">
        <f>Bruno[[#This Row],[Jogos]]</f>
        <v>Atlético-MG x Grêmio</v>
      </c>
      <c r="B17" t="str">
        <f>Bruno[[#This Row],[Competição]]</f>
        <v>Brasileirão (23ª rodada)</v>
      </c>
      <c r="C17" t="str">
        <f>Bruno[[#This Row],[Placar Final]]</f>
        <v>3x0 (Vitor Hugo e Cuello 2x)</v>
      </c>
      <c r="D17" t="s">
        <v>112</v>
      </c>
      <c r="E17">
        <v>2</v>
      </c>
      <c r="F17" t="s">
        <v>132</v>
      </c>
    </row>
    <row r="18" spans="1:6" x14ac:dyDescent="0.3">
      <c r="A18" t="str">
        <f>Bruno[[#This Row],[Jogos]]</f>
        <v>Arsenal x Coventry City</v>
      </c>
      <c r="B18" t="str">
        <f>Bruno[[#This Row],[Competição]]</f>
        <v>Premier League (1ª rodada)</v>
      </c>
      <c r="C18" t="str">
        <f>Bruno[[#This Row],[Placar Final]]</f>
        <v>3x0 (Havertz, Saka e Odegaard)</v>
      </c>
      <c r="D18" t="s">
        <v>146</v>
      </c>
      <c r="E18">
        <v>4</v>
      </c>
      <c r="F18" t="s">
        <v>153</v>
      </c>
    </row>
    <row r="19" spans="1:6" x14ac:dyDescent="0.3">
      <c r="A19" t="str">
        <f>Bruno[[#This Row],[Jogos]]</f>
        <v>Uberlândia x ABC</v>
      </c>
      <c r="B19" t="str">
        <f>Bruno[[#This Row],[Competição]]</f>
        <v>Brasileirão D (Semifinal)</v>
      </c>
      <c r="C19" t="str">
        <f>Bruno[[#This Row],[Placar Final]]</f>
        <v>1x0 (Marcos Calazans)</v>
      </c>
      <c r="D19" t="s">
        <v>157</v>
      </c>
      <c r="E19">
        <v>3</v>
      </c>
      <c r="F19" t="s">
        <v>43</v>
      </c>
    </row>
    <row r="20" spans="1:6" x14ac:dyDescent="0.3">
      <c r="A20" t="str">
        <f>Bruno[[#This Row],[Jogos]]</f>
        <v>Cruzeiro x Flamengo</v>
      </c>
      <c r="B20" t="str">
        <f>Bruno[[#This Row],[Competição]]</f>
        <v>Brasileirão (24ª rodada)</v>
      </c>
      <c r="C20" t="str">
        <f>Bruno[[#This Row],[Placar Final]]</f>
        <v>2x1 (Arroyo e Matheus Pereira; Pedro)</v>
      </c>
      <c r="D20" t="s">
        <v>154</v>
      </c>
      <c r="E20">
        <v>1</v>
      </c>
      <c r="F20" t="s">
        <v>161</v>
      </c>
    </row>
    <row r="21" spans="1:6" x14ac:dyDescent="0.3">
      <c r="A21" t="str">
        <f>Bruno[[#This Row],[Jogos]]</f>
        <v>Newcastle x Liverpool</v>
      </c>
      <c r="B21" t="str">
        <f>Bruno[[#This Row],[Competição]]</f>
        <v>Premier League (1ª rodada)</v>
      </c>
      <c r="C21" t="str">
        <f>Bruno[[#This Row],[Placar Final]]</f>
        <v>2x2 (Elanga e Willock; Gakpo e Szoboszlai)</v>
      </c>
      <c r="D21" t="s">
        <v>162</v>
      </c>
      <c r="E21">
        <v>1</v>
      </c>
      <c r="F21" t="s">
        <v>167</v>
      </c>
    </row>
    <row r="22" spans="1:6" x14ac:dyDescent="0.3">
      <c r="A22" t="str">
        <f>Bruno[[#This Row],[Jogos]]</f>
        <v>Vitória x Bahia</v>
      </c>
      <c r="B22" t="str">
        <f>Bruno[[#This Row],[Competição]]</f>
        <v>Brasileirão (24ª rodada)</v>
      </c>
      <c r="C22" t="str">
        <f>Bruno[[#This Row],[Placar Final]]</f>
        <v>0x2 (Alejo Véliz e Jean Lucas)</v>
      </c>
      <c r="D22" t="s">
        <v>171</v>
      </c>
      <c r="E22">
        <v>0</v>
      </c>
      <c r="F22" t="s">
        <v>38</v>
      </c>
    </row>
    <row r="23" spans="1:6" x14ac:dyDescent="0.3">
      <c r="A23" t="str">
        <f>Bruno[[#This Row],[Jogos]]</f>
        <v>ASA x Gama</v>
      </c>
      <c r="B23" t="str">
        <f>Bruno[[#This Row],[Competição]]</f>
        <v>Brasileirão D (Semifinal)</v>
      </c>
      <c r="C23" t="str">
        <f>Bruno[[#This Row],[Placar Final]]</f>
        <v>2x0 (Motta e Sammuel)</v>
      </c>
      <c r="D23" t="s">
        <v>172</v>
      </c>
      <c r="E23">
        <v>3</v>
      </c>
      <c r="F23" t="s">
        <v>126</v>
      </c>
    </row>
    <row r="24" spans="1:6" x14ac:dyDescent="0.3">
      <c r="A24" t="str">
        <f>Bruno[[#This Row],[Jogos]]</f>
        <v>Criciúma x Fortaleza</v>
      </c>
      <c r="B24" t="str">
        <f>Bruno[[#This Row],[Competição]]</f>
        <v>Brasileirão B (24ª rodada)</v>
      </c>
      <c r="C24" t="str">
        <f>Bruno[[#This Row],[Placar Final]]</f>
        <v>0x2 (Pedro Henrique e Paulo Baya)</v>
      </c>
      <c r="D24" t="s">
        <v>174</v>
      </c>
      <c r="E24">
        <v>0</v>
      </c>
      <c r="F24" t="s">
        <v>38</v>
      </c>
    </row>
    <row r="25" spans="1:6" x14ac:dyDescent="0.3">
      <c r="A25" t="str">
        <f>Bruno[[#This Row],[Jogos]]</f>
        <v>Fulham x Chelsea</v>
      </c>
      <c r="B25" t="str">
        <f>Bruno[[#This Row],[Competição]]</f>
        <v>Premier League (1ª rodada)</v>
      </c>
      <c r="C25" t="str">
        <f>Bruno[[#This Row],[Placar Final]]</f>
        <v>2x3 (King e Gonzalo Garcia; João Pedro, Rogers e Palmer)</v>
      </c>
      <c r="D25" t="s">
        <v>181</v>
      </c>
      <c r="E25">
        <v>6</v>
      </c>
      <c r="F25" t="s">
        <v>186</v>
      </c>
    </row>
    <row r="26" spans="1:6" x14ac:dyDescent="0.3">
      <c r="A26" t="str">
        <f>Bruno[[#This Row],[Jogos]]</f>
        <v>Tottenham x Newcastle</v>
      </c>
      <c r="B26" t="str">
        <f>Bruno[[#This Row],[Competição]]</f>
        <v>Premier League (2ª rodada)</v>
      </c>
      <c r="C26" t="str">
        <f>Bruno[[#This Row],[Placar Final]]</f>
        <v>0x2 (Elanga e Wissa)</v>
      </c>
      <c r="D26" t="s">
        <v>193</v>
      </c>
      <c r="E26">
        <v>2</v>
      </c>
      <c r="F26" t="s">
        <v>194</v>
      </c>
    </row>
    <row r="27" spans="1:6" x14ac:dyDescent="0.3">
      <c r="A27" t="str">
        <f>Bruno[[#This Row],[Jogos]]</f>
        <v>Flamengo x Botafogo</v>
      </c>
      <c r="B27" t="str">
        <f>Bruno[[#This Row],[Competição]]</f>
        <v>Brasileirão (25ª rodada)</v>
      </c>
      <c r="C27" t="str">
        <f>Bruno[[#This Row],[Placar Final]]</f>
        <v>3x0 (Samuel Lino 2x e Carrascal)</v>
      </c>
      <c r="D27" s="10" t="s">
        <v>204</v>
      </c>
      <c r="E27">
        <v>9</v>
      </c>
      <c r="F27" t="s">
        <v>211</v>
      </c>
    </row>
    <row r="28" spans="1:6" x14ac:dyDescent="0.3">
      <c r="A28" t="str">
        <f>Bruno[[#This Row],[Jogos]]</f>
        <v>Corinthians x Santos</v>
      </c>
      <c r="B28" t="str">
        <f>Bruno[[#This Row],[Competição]]</f>
        <v>Brasileirão (25ª rodada)</v>
      </c>
      <c r="C28" t="str">
        <f>Bruno[[#This Row],[Placar Final]]</f>
        <v>0x1 (Oliva)</v>
      </c>
      <c r="D28" t="s">
        <v>203</v>
      </c>
      <c r="E28">
        <v>1</v>
      </c>
      <c r="F28" t="s">
        <v>27</v>
      </c>
    </row>
    <row r="29" spans="1:6" x14ac:dyDescent="0.3">
      <c r="A29" t="str">
        <f>Bruno[[#This Row],[Jogos]]</f>
        <v>Gama x ASA</v>
      </c>
      <c r="B29" t="str">
        <f>Bruno[[#This Row],[Competição]]</f>
        <v>Brasileirão D (Semifinal)</v>
      </c>
      <c r="C29" t="str">
        <f>Bruno[[#This Row],[Placar Final]]</f>
        <v>0x0</v>
      </c>
      <c r="D29" t="s">
        <v>205</v>
      </c>
      <c r="E29">
        <v>1</v>
      </c>
      <c r="F29" t="s">
        <v>27</v>
      </c>
    </row>
    <row r="30" spans="1:6" x14ac:dyDescent="0.3">
      <c r="A30" t="str">
        <f>Bruno[[#This Row],[Jogos]]</f>
        <v>ABC x Uberlândia</v>
      </c>
      <c r="B30" t="str">
        <f>Bruno[[#This Row],[Competição]]</f>
        <v>Brasileirão D (Semifinal)</v>
      </c>
      <c r="C30" t="str">
        <f>Bruno[[#This Row],[Placar Final]]</f>
        <v>1x1 (Jhosefer; Tomas Bastos)</v>
      </c>
      <c r="D30" s="10" t="s">
        <v>212</v>
      </c>
      <c r="E30">
        <v>8</v>
      </c>
      <c r="F30" t="s">
        <v>122</v>
      </c>
    </row>
    <row r="31" spans="1:6" x14ac:dyDescent="0.3">
      <c r="A31" t="str">
        <f>Bruno[[#This Row],[Jogos]]</f>
        <v>Remo x Coritiba</v>
      </c>
      <c r="B31" t="str">
        <f>Bruno[[#This Row],[Competição]]</f>
        <v>Brasileirão (25ª rodada)</v>
      </c>
      <c r="C31" t="str">
        <f>Bruno[[#This Row],[Placar Final]]</f>
        <v>2x3 (Zé Ricardo e Yago Pikachu; Zé Welison [contra], Fabinho e Pedro Rocha)</v>
      </c>
      <c r="D31" t="s">
        <v>220</v>
      </c>
      <c r="E31">
        <v>3</v>
      </c>
      <c r="F31" t="s">
        <v>221</v>
      </c>
    </row>
    <row r="32" spans="1:6" x14ac:dyDescent="0.3">
      <c r="A32" t="str">
        <f>Bruno[[#This Row],[Jogos]]</f>
        <v>Real Bétis x Real Madrid</v>
      </c>
      <c r="B32" t="str">
        <f>Bruno[[#This Row],[Competição]]</f>
        <v>Espanhol (4ª rodada)</v>
      </c>
      <c r="C32" t="str">
        <f>Bruno[[#This Row],[Placar Final]]</f>
        <v>1x0 (Troy Parrott)</v>
      </c>
      <c r="D32" t="s">
        <v>232</v>
      </c>
      <c r="E32">
        <v>1</v>
      </c>
      <c r="F32" t="s">
        <v>27</v>
      </c>
    </row>
    <row r="33" spans="1:6" x14ac:dyDescent="0.3">
      <c r="A33" t="str">
        <f>Bruno[[#This Row],[Jogos]]</f>
        <v>PSG X Mônaco</v>
      </c>
      <c r="B33" t="str">
        <f>Bruno[[#This Row],[Competição]]</f>
        <v>Francês (3ª rodada)</v>
      </c>
      <c r="C33" t="str">
        <f>Bruno[[#This Row],[Placar Final]]</f>
        <v>1x2 (Marquinhos; Nazinho e Idumbo)</v>
      </c>
      <c r="D33" t="s">
        <v>233</v>
      </c>
      <c r="E33">
        <v>0</v>
      </c>
      <c r="F33" t="s">
        <v>38</v>
      </c>
    </row>
    <row r="34" spans="1:6" x14ac:dyDescent="0.3">
      <c r="A34" t="str">
        <f>Bruno[[#This Row],[Jogos]]</f>
        <v>Red Bull Bragantino x Bahia</v>
      </c>
      <c r="B34" t="str">
        <f>Bruno[[#This Row],[Competição]]</f>
        <v>Brasileirão (26ª rodada)</v>
      </c>
      <c r="C34" t="str">
        <f>Bruno[[#This Row],[Placar Final]]</f>
        <v>2x3 (Lucas Barbosa e Ramos Mingo [contra]; Luciano Juba, Alejo Véliz e Erick)</v>
      </c>
      <c r="D34" t="s">
        <v>238</v>
      </c>
      <c r="E34">
        <v>5</v>
      </c>
      <c r="F34" t="s">
        <v>241</v>
      </c>
    </row>
    <row r="35" spans="1:6" x14ac:dyDescent="0.3">
      <c r="A35" t="str">
        <f>Bruno[[#This Row],[Jogos]]</f>
        <v>Fluminense x Vasco</v>
      </c>
      <c r="B35" t="str">
        <f>Bruno[[#This Row],[Competição]]</f>
        <v>Brasileirão (26ª rodada)</v>
      </c>
      <c r="C35" t="str">
        <f>Bruno[[#This Row],[Placar Final]]</f>
        <v>1x0 (Lucho Acosta)</v>
      </c>
      <c r="D35" t="s">
        <v>255</v>
      </c>
      <c r="E35">
        <v>3</v>
      </c>
      <c r="F35" t="s">
        <v>43</v>
      </c>
    </row>
    <row r="36" spans="1:6" x14ac:dyDescent="0.3">
      <c r="A36" t="str">
        <f>Bruno[[#This Row],[Jogos]]</f>
        <v>Arsenal x Chelsea</v>
      </c>
      <c r="B36" t="str">
        <f>Bruno[[#This Row],[Competição]]</f>
        <v>Premier League (3ª rodada)</v>
      </c>
      <c r="C36" t="str">
        <f>Bruno[[#This Row],[Placar Final]]</f>
        <v>2x1 (Havertz e Odegaard; Rogers)</v>
      </c>
      <c r="D36" t="s">
        <v>258</v>
      </c>
      <c r="E36">
        <v>2</v>
      </c>
      <c r="F36" t="s">
        <v>260</v>
      </c>
    </row>
    <row r="37" spans="1:6" x14ac:dyDescent="0.3">
      <c r="A37" t="str">
        <f>Bruno[[#This Row],[Jogos]]</f>
        <v>Juventus x Milan</v>
      </c>
      <c r="B37" t="str">
        <f>Bruno[[#This Row],[Competição]]</f>
        <v>Serie A TIM (3ª rodada)</v>
      </c>
      <c r="C37" t="str">
        <f>Bruno[[#This Row],[Placar Final]]</f>
        <v>1x1 (Federico Gatti; Alphadjo Cisse)</v>
      </c>
      <c r="D37" s="10" t="s">
        <v>263</v>
      </c>
      <c r="E37">
        <v>8</v>
      </c>
      <c r="F37" t="s">
        <v>122</v>
      </c>
    </row>
    <row r="38" spans="1:6" x14ac:dyDescent="0.3">
      <c r="A38" t="str">
        <f>Bruno[[#This Row],[Jogos]]</f>
        <v>Cruzeiro x Athletico</v>
      </c>
      <c r="B38" t="str">
        <f>Bruno[[#This Row],[Competição]]</f>
        <v>Brasileirão (26ª rodada)</v>
      </c>
      <c r="C38" t="str">
        <f>Bruno[[#This Row],[Placar Final]]</f>
        <v>3x1 (Matheus Pereira, Lucas Romero e Kaio Jorge; João Cruz)</v>
      </c>
      <c r="D38" t="s">
        <v>264</v>
      </c>
      <c r="E38">
        <v>4</v>
      </c>
      <c r="F38" t="s">
        <v>271</v>
      </c>
    </row>
    <row r="39" spans="1:6" x14ac:dyDescent="0.3">
      <c r="A39" t="str">
        <f>Bruno[[#This Row],[Jogos]]</f>
        <v>ASA x Uberlândia</v>
      </c>
      <c r="B39" t="str">
        <f>Bruno[[#This Row],[Competição]]</f>
        <v>Brasileirão D (Final)</v>
      </c>
      <c r="C39" t="str">
        <f>Bruno[[#This Row],[Placar Final]]</f>
        <v>0x1 (Ferreira [contra])</v>
      </c>
      <c r="D39" t="s">
        <v>265</v>
      </c>
      <c r="E39">
        <v>0</v>
      </c>
      <c r="F39" t="s">
        <v>38</v>
      </c>
    </row>
    <row r="40" spans="1:6" x14ac:dyDescent="0.3">
      <c r="A40" t="str">
        <f>Bruno[[#This Row],[Jogos]]</f>
        <v>Botafogo x Palmeiras</v>
      </c>
      <c r="B40" t="str">
        <f>Bruno[[#This Row],[Competição]]</f>
        <v>Brasileirão (26ª rodada)</v>
      </c>
      <c r="C40" t="str">
        <f>Bruno[[#This Row],[Placar Final]]</f>
        <v>0x0</v>
      </c>
      <c r="D40" t="s">
        <v>270</v>
      </c>
      <c r="E40">
        <v>0</v>
      </c>
      <c r="F40" t="s">
        <v>38</v>
      </c>
    </row>
    <row r="41" spans="1:6" x14ac:dyDescent="0.3">
      <c r="A41" t="str">
        <f>Bruno[[#This Row],[Jogos]]</f>
        <v>Club Brugge x Aston Villa</v>
      </c>
      <c r="B41" t="str">
        <f>Bruno[[#This Row],[Competição]]</f>
        <v>Champions (1ª rodada)</v>
      </c>
      <c r="C41" t="str">
        <f>Bruno[[#This Row],[Placar Final]]</f>
        <v>2x3 (Vetlesen e Tresoldi; McGinn, Buendía e Nicolas Jackson)</v>
      </c>
      <c r="D41" t="s">
        <v>280</v>
      </c>
      <c r="E41">
        <v>3</v>
      </c>
      <c r="F41" t="s">
        <v>284</v>
      </c>
    </row>
    <row r="42" spans="1:6" x14ac:dyDescent="0.3">
      <c r="A42" t="str">
        <f>Bruno[[#This Row],[Jogos]]</f>
        <v>Real Madrid x Internazionale</v>
      </c>
      <c r="B42" t="str">
        <f>Bruno[[#This Row],[Competição]]</f>
        <v>Champions (1ª rodada)</v>
      </c>
      <c r="C42" t="str">
        <f>Bruno[[#This Row],[Placar Final]]</f>
        <v>2x1 (Mbappé e Valverde; Carlos Augusto)</v>
      </c>
      <c r="D42" t="s">
        <v>287</v>
      </c>
      <c r="E42">
        <v>4</v>
      </c>
      <c r="F42" t="s">
        <v>292</v>
      </c>
    </row>
    <row r="43" spans="1:6" x14ac:dyDescent="0.3">
      <c r="A43" t="str">
        <f>Bruno[[#This Row],[Jogos]]</f>
        <v>Napoli x Arsenal</v>
      </c>
      <c r="B43" t="str">
        <f>Bruno[[#This Row],[Competição]]</f>
        <v>Champions (1ª rodada)</v>
      </c>
      <c r="C43" t="str">
        <f>Bruno[[#This Row],[Placar Final]]</f>
        <v>0x1 (Odegaard)</v>
      </c>
      <c r="D43" t="s">
        <v>293</v>
      </c>
      <c r="E43">
        <v>3</v>
      </c>
      <c r="F43" t="s">
        <v>43</v>
      </c>
    </row>
    <row r="44" spans="1:6" x14ac:dyDescent="0.3">
      <c r="A44" t="str">
        <f>Bruno[[#This Row],[Jogos]]</f>
        <v>Liverpool x Atlético de Madrid</v>
      </c>
      <c r="B44" t="str">
        <f>Bruno[[#This Row],[Competição]]</f>
        <v>Champions (1ª rodada)</v>
      </c>
      <c r="C44" t="str">
        <f>Bruno[[#This Row],[Placar Final]]</f>
        <v>2x1 (Szoboszlai e Mac Allister; Llorente)</v>
      </c>
      <c r="D44" t="s">
        <v>294</v>
      </c>
      <c r="E44">
        <v>3</v>
      </c>
      <c r="F44" t="s">
        <v>126</v>
      </c>
    </row>
    <row r="45" spans="1:6" x14ac:dyDescent="0.3">
      <c r="A45" t="str">
        <f>Bruno[[#This Row],[Jogos]]</f>
        <v>Coritiba x Athletico</v>
      </c>
      <c r="B45" t="str">
        <f>Bruno[[#This Row],[Competição]]</f>
        <v>Brasileirão (27ª rodada)</v>
      </c>
      <c r="C45" t="str">
        <f>Bruno[[#This Row],[Placar Final]]</f>
        <v>3x3 (Tiago Coser e Rodrigo Moledo 2x; Luiz Gustavo, Arthur Dias e Viveros)</v>
      </c>
      <c r="D45" t="s">
        <v>303</v>
      </c>
      <c r="E45">
        <v>1</v>
      </c>
      <c r="F45" t="s">
        <v>304</v>
      </c>
    </row>
    <row r="46" spans="1:6" x14ac:dyDescent="0.3">
      <c r="A46" t="str">
        <f>Bruno[[#This Row],[Jogos]]</f>
        <v>Aston Villa x Nottingham Forest</v>
      </c>
      <c r="B46" t="str">
        <f>Bruno[[#This Row],[Competição]]</f>
        <v>Premier League (4ª rodada)</v>
      </c>
      <c r="C46" t="str">
        <f>Bruno[[#This Row],[Placar Final]]</f>
        <v>1x2 (Alysson; Delap e Igor Jesus)</v>
      </c>
      <c r="D46" t="s">
        <v>326</v>
      </c>
      <c r="E46">
        <v>0</v>
      </c>
      <c r="F46" t="s">
        <v>38</v>
      </c>
    </row>
    <row r="47" spans="1:6" x14ac:dyDescent="0.3">
      <c r="A47" t="str">
        <f>Bruno[[#This Row],[Jogos]]</f>
        <v>Lazio x Milan</v>
      </c>
      <c r="B47" t="str">
        <f>Bruno[[#This Row],[Competição]]</f>
        <v>Serie A TIM (4ª rodada)</v>
      </c>
      <c r="C47" t="str">
        <f>Bruno[[#This Row],[Placar Final]]</f>
        <v>2x2 (Cancellieri e Noslin; Diego Moreira 2x)</v>
      </c>
      <c r="D47" t="s">
        <v>327</v>
      </c>
      <c r="E47">
        <v>1</v>
      </c>
      <c r="F47" t="s">
        <v>27</v>
      </c>
    </row>
    <row r="48" spans="1:6" x14ac:dyDescent="0.3">
      <c r="A48" t="str">
        <f>Bruno[[#This Row],[Jogos]]</f>
        <v>Tottenham x Everton</v>
      </c>
      <c r="B48" t="str">
        <f>Bruno[[#This Row],[Competição]]</f>
        <v>Premier League (4ª rodada)</v>
      </c>
      <c r="C48" t="str">
        <f>Bruno[[#This Row],[Placar Final]]</f>
        <v>0x0</v>
      </c>
      <c r="D48" t="s">
        <v>328</v>
      </c>
      <c r="E48">
        <v>1</v>
      </c>
      <c r="F48" t="s">
        <v>27</v>
      </c>
    </row>
    <row r="49" spans="1:6" x14ac:dyDescent="0.3">
      <c r="A49" t="str">
        <f>Bruno[[#This Row],[Jogos]]</f>
        <v>Palmeiras x São Paulo</v>
      </c>
      <c r="B49" t="str">
        <f>Bruno[[#This Row],[Competição]]</f>
        <v>Brasileirão (27ª rodada)</v>
      </c>
      <c r="C49" t="str">
        <f>Bruno[[#This Row],[Placar Final]]</f>
        <v>2x0 (Murilo e Vitor Roque)</v>
      </c>
      <c r="D49" s="10" t="s">
        <v>331</v>
      </c>
      <c r="E49">
        <v>8</v>
      </c>
      <c r="F49" t="s">
        <v>122</v>
      </c>
    </row>
    <row r="50" spans="1:6" x14ac:dyDescent="0.3">
      <c r="A50" t="str">
        <f>Bruno[[#This Row],[Jogos]]</f>
        <v>Santos x Cruzeiro</v>
      </c>
      <c r="B50" t="str">
        <f>Bruno[[#This Row],[Competição]]</f>
        <v>Brasileirão (27ª rodada)</v>
      </c>
      <c r="C50" t="str">
        <f>Bruno[[#This Row],[Placar Final]]</f>
        <v>2x1 (Rollheiser e Fabricio Bruno [contra]; Matheus Pereira)</v>
      </c>
      <c r="D50" s="10" t="s">
        <v>334</v>
      </c>
      <c r="E50">
        <v>8</v>
      </c>
      <c r="F50" t="s">
        <v>122</v>
      </c>
    </row>
    <row r="51" spans="1:6" x14ac:dyDescent="0.3">
      <c r="A51" t="str">
        <f>Bruno[[#This Row],[Jogos]]</f>
        <v>Manchester United x Manchester City</v>
      </c>
      <c r="B51" t="str">
        <f>Bruno[[#This Row],[Competição]]</f>
        <v>Premier League (4ª rodada)</v>
      </c>
      <c r="C51" t="str">
        <f>Bruno[[#This Row],[Placar Final]]</f>
        <v>0x1 (Haaland)</v>
      </c>
      <c r="D51" t="s">
        <v>341</v>
      </c>
      <c r="E51">
        <v>1</v>
      </c>
      <c r="F51" t="s">
        <v>342</v>
      </c>
    </row>
    <row r="52" spans="1:6" x14ac:dyDescent="0.3">
      <c r="A52" t="str">
        <f>Bruno[[#This Row],[Jogos]]</f>
        <v>Uberlândia x ASA</v>
      </c>
      <c r="B52" t="str">
        <f>Bruno[[#This Row],[Competição]]</f>
        <v>Brasileirão D (Final)</v>
      </c>
      <c r="C52" t="str">
        <f>Bruno[[#This Row],[Placar Final]]</f>
        <v>1x1 (Marcos Calazans; Michel Douglas)</v>
      </c>
      <c r="D52" s="10" t="s">
        <v>349</v>
      </c>
      <c r="E52">
        <v>9</v>
      </c>
      <c r="F52" t="s">
        <v>351</v>
      </c>
    </row>
    <row r="53" spans="1:6" x14ac:dyDescent="0.3">
      <c r="A53" t="str">
        <f>Bruno[[#This Row],[Jogos]]</f>
        <v>Flamengo x Corinthians</v>
      </c>
      <c r="B53" t="str">
        <f>Bruno[[#This Row],[Competição]]</f>
        <v>Brasileirão (27ª rodada)</v>
      </c>
      <c r="C53" t="str">
        <f>Bruno[[#This Row],[Placar Final]]</f>
        <v>2x1 (Lucas Paquetá e Bruno Henrique; Gui Negão)</v>
      </c>
      <c r="D53" t="s">
        <v>350</v>
      </c>
      <c r="E53">
        <v>2</v>
      </c>
      <c r="F53" t="s">
        <v>353</v>
      </c>
    </row>
    <row r="54" spans="1:6" x14ac:dyDescent="0.3">
      <c r="A54" t="str">
        <f>Bruno[[#This Row],[Jogos]]</f>
        <v>Liverpool x Tottenham</v>
      </c>
      <c r="B54" t="str">
        <f>Bruno[[#This Row],[Competição]]</f>
        <v>Copa da Liga Inglesa (3ª rodada)</v>
      </c>
      <c r="C54" t="str">
        <f>Bruno[[#This Row],[Placar Final]]</f>
        <v>3x1 (Mac Allister,Gakpo e Szoboszlai; Gallagher)</v>
      </c>
      <c r="D54" t="s">
        <v>357</v>
      </c>
      <c r="E54">
        <v>0</v>
      </c>
      <c r="F54" t="s">
        <v>38</v>
      </c>
    </row>
    <row r="55" spans="1:6" x14ac:dyDescent="0.3">
      <c r="A55" t="s">
        <v>2</v>
      </c>
      <c r="E55">
        <f>SUBTOTAL(109,Douglas[Pontuação])</f>
        <v>140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3A20-1995-4300-8654-F72460A851E9}">
  <dimension ref="A1:F55"/>
  <sheetViews>
    <sheetView workbookViewId="0">
      <pane ySplit="1" topLeftCell="A35" activePane="bottomLeft" state="frozen"/>
      <selection pane="bottomLeft" activeCell="A57" sqref="A57"/>
    </sheetView>
  </sheetViews>
  <sheetFormatPr defaultColWidth="12.83203125" defaultRowHeight="13.5" x14ac:dyDescent="0.3"/>
  <cols>
    <col min="1" max="1" width="36.33203125" bestFit="1" customWidth="1"/>
    <col min="2" max="2" width="32.5" bestFit="1" customWidth="1"/>
    <col min="3" max="3" width="73.33203125" bestFit="1" customWidth="1"/>
    <col min="4" max="4" width="79.1640625" bestFit="1" customWidth="1"/>
    <col min="5" max="5" width="13.6640625" bestFit="1" customWidth="1"/>
    <col min="6" max="6" width="46.83203125" bestFit="1" customWidth="1"/>
  </cols>
  <sheetData>
    <row r="1" spans="1:6" x14ac:dyDescent="0.3">
      <c r="A1" s="2" t="s">
        <v>12</v>
      </c>
      <c r="B1" s="9" t="s">
        <v>13</v>
      </c>
      <c r="C1" s="1" t="s">
        <v>14</v>
      </c>
      <c r="D1" t="s">
        <v>15</v>
      </c>
      <c r="E1" t="s">
        <v>16</v>
      </c>
      <c r="F1" t="s">
        <v>17</v>
      </c>
    </row>
    <row r="2" spans="1:6" x14ac:dyDescent="0.3">
      <c r="A2" t="str">
        <f>Bruno[[#This Row],[Jogos]]</f>
        <v>Internacional x Cruzeiro</v>
      </c>
      <c r="B2" t="str">
        <f>Bruno[[#This Row],[Competição]]</f>
        <v>Brasileirão (19ª rodada)</v>
      </c>
      <c r="C2" t="str">
        <f>Bruno[[#This Row],[Placar Final]]</f>
        <v>1x2 (Carbonero; Kaio Jorge e Matheus Pereira)</v>
      </c>
      <c r="D2" t="s">
        <v>113</v>
      </c>
      <c r="E2">
        <v>2</v>
      </c>
      <c r="F2" t="s">
        <v>94</v>
      </c>
    </row>
    <row r="3" spans="1:6" x14ac:dyDescent="0.3">
      <c r="A3" t="str">
        <f>Bruno[[#This Row],[Jogos]]</f>
        <v>Cruzeiro x Botafogo</v>
      </c>
      <c r="B3" t="str">
        <f>Bruno[[#This Row],[Competição]]</f>
        <v>Brasileirão (20ª rodada)</v>
      </c>
      <c r="C3" t="str">
        <f>Bruno[[#This Row],[Placar Final]]</f>
        <v>0x1 (Gabriel Justino)</v>
      </c>
      <c r="D3" t="s">
        <v>114</v>
      </c>
      <c r="E3">
        <v>1</v>
      </c>
      <c r="F3" t="s">
        <v>27</v>
      </c>
    </row>
    <row r="4" spans="1:6" x14ac:dyDescent="0.3">
      <c r="A4" t="str">
        <f>Bruno[[#This Row],[Jogos]]</f>
        <v>Grêmio x Fluminense</v>
      </c>
      <c r="B4" t="str">
        <f>Bruno[[#This Row],[Competição]]</f>
        <v>Brasileirão (20ª rodada)</v>
      </c>
      <c r="C4" t="str">
        <f>Bruno[[#This Row],[Placar Final]]</f>
        <v>1x1 (Diego Caito; Hulk)</v>
      </c>
      <c r="D4" t="s">
        <v>115</v>
      </c>
      <c r="E4">
        <v>1</v>
      </c>
      <c r="F4" t="s">
        <v>27</v>
      </c>
    </row>
    <row r="5" spans="1:6" x14ac:dyDescent="0.3">
      <c r="A5" t="str">
        <f>Bruno[[#This Row],[Jogos]]</f>
        <v>Flamengo x São Paulo</v>
      </c>
      <c r="B5" t="str">
        <f>Bruno[[#This Row],[Competição]]</f>
        <v>Brasileirão (20ª rodada)</v>
      </c>
      <c r="C5" t="str">
        <f>Bruno[[#This Row],[Placar Final]]</f>
        <v>1x1 (Léo Pereira; Calleri)</v>
      </c>
      <c r="D5" t="s">
        <v>116</v>
      </c>
      <c r="E5">
        <v>3</v>
      </c>
      <c r="F5" t="s">
        <v>117</v>
      </c>
    </row>
    <row r="6" spans="1:6" x14ac:dyDescent="0.3">
      <c r="A6" t="str">
        <f>Bruno[[#This Row],[Jogos]]</f>
        <v>Palmeiras x Atlético-MG</v>
      </c>
      <c r="B6" t="str">
        <f>Bruno[[#This Row],[Competição]]</f>
        <v>Brasileirão (20ª rodada)</v>
      </c>
      <c r="C6" t="str">
        <f>Bruno[[#This Row],[Placar Final]]</f>
        <v>1x2 (Felipe Anderson; Victor Hugo e Igor Gomes)</v>
      </c>
      <c r="D6" t="s">
        <v>118</v>
      </c>
      <c r="E6">
        <v>1</v>
      </c>
      <c r="F6" t="s">
        <v>27</v>
      </c>
    </row>
    <row r="7" spans="1:6" x14ac:dyDescent="0.3">
      <c r="A7" t="str">
        <f>Bruno[[#This Row],[Jogos]]</f>
        <v>Mirassol x Remo</v>
      </c>
      <c r="B7" t="str">
        <f>Bruno[[#This Row],[Competição]]</f>
        <v>Brasileirão (21ª rodada)</v>
      </c>
      <c r="C7" t="str">
        <f>Bruno[[#This Row],[Placar Final]]</f>
        <v>2x1 (Marllon [contra] e João Victor; Leonel Picco)</v>
      </c>
      <c r="D7" t="s">
        <v>119</v>
      </c>
      <c r="E7">
        <v>3</v>
      </c>
      <c r="F7" t="s">
        <v>43</v>
      </c>
    </row>
    <row r="8" spans="1:6" x14ac:dyDescent="0.3">
      <c r="A8" t="str">
        <f>Bruno[[#This Row],[Jogos]]</f>
        <v>Fluminense x Bahia</v>
      </c>
      <c r="B8" t="str">
        <f>Bruno[[#This Row],[Competição]]</f>
        <v>Brasileirão (21ª rodada)</v>
      </c>
      <c r="C8" t="str">
        <f>Bruno[[#This Row],[Placar Final]]</f>
        <v>0x0</v>
      </c>
      <c r="D8" t="s">
        <v>38</v>
      </c>
      <c r="E8">
        <v>0</v>
      </c>
      <c r="F8" t="s">
        <v>38</v>
      </c>
    </row>
    <row r="9" spans="1:6" x14ac:dyDescent="0.3">
      <c r="A9" t="str">
        <f>Bruno[[#This Row],[Jogos]]</f>
        <v>Vitória x Palmeiras</v>
      </c>
      <c r="B9" t="str">
        <f>Bruno[[#This Row],[Competição]]</f>
        <v>Brasileirão (21ª rodada)</v>
      </c>
      <c r="C9" t="str">
        <f>Bruno[[#This Row],[Placar Final]]</f>
        <v>0x4 (Maurício, Fabiano [contra], Jhon Arias e Sosa)</v>
      </c>
      <c r="D9" t="s">
        <v>38</v>
      </c>
      <c r="E9">
        <v>0</v>
      </c>
      <c r="F9" t="s">
        <v>38</v>
      </c>
    </row>
    <row r="10" spans="1:6" x14ac:dyDescent="0.3">
      <c r="A10" t="str">
        <f>Bruno[[#This Row],[Jogos]]</f>
        <v>Corinthians x Athletico</v>
      </c>
      <c r="B10" t="str">
        <f>Bruno[[#This Row],[Competição]]</f>
        <v>Brasileirão (21ª rodada)</v>
      </c>
      <c r="C10" t="str">
        <f>Bruno[[#This Row],[Placar Final]]</f>
        <v>0x0</v>
      </c>
      <c r="D10" t="s">
        <v>120</v>
      </c>
      <c r="E10">
        <v>0</v>
      </c>
      <c r="F10" t="s">
        <v>38</v>
      </c>
    </row>
    <row r="11" spans="1:6" x14ac:dyDescent="0.3">
      <c r="A11" t="str">
        <f>Bruno[[#This Row],[Jogos]]</f>
        <v>Botafogo x Fluminense</v>
      </c>
      <c r="B11" t="str">
        <f>Bruno[[#This Row],[Competição]]</f>
        <v>Brasileirão (22ª rodada)</v>
      </c>
      <c r="C11" t="str">
        <f>Bruno[[#This Row],[Placar Final]]</f>
        <v>1x1 (Alex Telles; Ignácio)</v>
      </c>
      <c r="D11" s="10" t="s">
        <v>121</v>
      </c>
      <c r="E11">
        <v>8</v>
      </c>
      <c r="F11" t="s">
        <v>122</v>
      </c>
    </row>
    <row r="12" spans="1:6" x14ac:dyDescent="0.3">
      <c r="A12" t="str">
        <f>Bruno[[#This Row],[Jogos]]</f>
        <v>PSG x Aston Villa</v>
      </c>
      <c r="B12" t="str">
        <f>Bruno[[#This Row],[Competição]]</f>
        <v>Supercopa da UEFA</v>
      </c>
      <c r="C12" t="str">
        <f>Bruno[[#This Row],[Placar Final]]</f>
        <v>2x1 (Kvaratskhelia e Doué; Madjo)</v>
      </c>
      <c r="D12" t="s">
        <v>123</v>
      </c>
      <c r="E12">
        <v>4</v>
      </c>
      <c r="F12" t="s">
        <v>124</v>
      </c>
    </row>
    <row r="13" spans="1:6" x14ac:dyDescent="0.3">
      <c r="A13" t="str">
        <f>Bruno[[#This Row],[Jogos]]</f>
        <v>Sevilla x Rayo Vallecano</v>
      </c>
      <c r="B13" t="str">
        <f>Bruno[[#This Row],[Competição]]</f>
        <v>Espanhol (1ª rodada)</v>
      </c>
      <c r="C13" t="str">
        <f>Bruno[[#This Row],[Placar Final]]</f>
        <v>2x1 (Jon Guridi e Gerard Fernández; Alvaro Garcia)</v>
      </c>
      <c r="D13" t="s">
        <v>38</v>
      </c>
      <c r="E13">
        <v>0</v>
      </c>
      <c r="F13" t="s">
        <v>38</v>
      </c>
    </row>
    <row r="14" spans="1:6" x14ac:dyDescent="0.3">
      <c r="A14" t="str">
        <f>Bruno[[#This Row],[Jogos]]</f>
        <v>Juventude x Fortaleza</v>
      </c>
      <c r="B14" t="str">
        <f>Bruno[[#This Row],[Competição]]</f>
        <v>Brasileirão B (22ª rodada)</v>
      </c>
      <c r="C14" t="str">
        <f>Bruno[[#This Row],[Placar Final]]</f>
        <v>0x0</v>
      </c>
      <c r="D14" t="s">
        <v>38</v>
      </c>
      <c r="E14">
        <v>0</v>
      </c>
      <c r="F14" t="s">
        <v>38</v>
      </c>
    </row>
    <row r="15" spans="1:6" x14ac:dyDescent="0.3">
      <c r="A15" t="str">
        <f>Bruno[[#This Row],[Jogos]]</f>
        <v>Arsenal x Manchester City</v>
      </c>
      <c r="B15" t="str">
        <f>Bruno[[#This Row],[Competição]]</f>
        <v>Supercopa Inglesa</v>
      </c>
      <c r="C15" t="str">
        <f>Bruno[[#This Row],[Placar Final]]</f>
        <v>3x0 (Calafiori, Havertz e Odegaard)</v>
      </c>
      <c r="D15" t="s">
        <v>125</v>
      </c>
      <c r="E15">
        <v>3</v>
      </c>
      <c r="F15" t="s">
        <v>126</v>
      </c>
    </row>
    <row r="16" spans="1:6" x14ac:dyDescent="0.3">
      <c r="A16" t="str">
        <f>Bruno[[#This Row],[Jogos]]</f>
        <v>Lens x PSG</v>
      </c>
      <c r="B16" t="str">
        <f>Bruno[[#This Row],[Competição]]</f>
        <v>Supercopa Francesa</v>
      </c>
      <c r="C16" t="str">
        <f>Bruno[[#This Row],[Placar Final]]</f>
        <v>1x0 (Thauvin)</v>
      </c>
      <c r="D16" t="s">
        <v>127</v>
      </c>
      <c r="E16">
        <v>1</v>
      </c>
      <c r="F16" t="s">
        <v>27</v>
      </c>
    </row>
    <row r="17" spans="1:6" x14ac:dyDescent="0.3">
      <c r="A17" t="str">
        <f>Bruno[[#This Row],[Jogos]]</f>
        <v>Atlético-MG x Grêmio</v>
      </c>
      <c r="B17" t="str">
        <f>Bruno[[#This Row],[Competição]]</f>
        <v>Brasileirão (23ª rodada)</v>
      </c>
      <c r="C17" t="str">
        <f>Bruno[[#This Row],[Placar Final]]</f>
        <v>3x0 (Vitor Hugo e Cuello 2x)</v>
      </c>
      <c r="D17" t="s">
        <v>128</v>
      </c>
      <c r="E17">
        <v>6</v>
      </c>
      <c r="F17" t="s">
        <v>129</v>
      </c>
    </row>
    <row r="18" spans="1:6" x14ac:dyDescent="0.3">
      <c r="A18" t="str">
        <f>Bruno[[#This Row],[Jogos]]</f>
        <v>Arsenal x Coventry City</v>
      </c>
      <c r="B18" t="str">
        <f>Bruno[[#This Row],[Competição]]</f>
        <v>Premier League (1ª rodada)</v>
      </c>
      <c r="C18" t="str">
        <f>Bruno[[#This Row],[Placar Final]]</f>
        <v>3x0 (Havertz, Saka e Odegaard)</v>
      </c>
      <c r="D18" s="10" t="s">
        <v>147</v>
      </c>
      <c r="E18">
        <v>9</v>
      </c>
      <c r="F18" t="s">
        <v>151</v>
      </c>
    </row>
    <row r="19" spans="1:6" x14ac:dyDescent="0.3">
      <c r="A19" t="str">
        <f>Bruno[[#This Row],[Jogos]]</f>
        <v>Uberlândia x ABC</v>
      </c>
      <c r="B19" t="str">
        <f>Bruno[[#This Row],[Competição]]</f>
        <v>Brasileirão D (Semifinal)</v>
      </c>
      <c r="C19" t="str">
        <f>Bruno[[#This Row],[Placar Final]]</f>
        <v>1x0 (Marcos Calazans)</v>
      </c>
      <c r="D19" s="10" t="s">
        <v>158</v>
      </c>
      <c r="E19">
        <v>8</v>
      </c>
      <c r="F19" t="s">
        <v>122</v>
      </c>
    </row>
    <row r="20" spans="1:6" x14ac:dyDescent="0.3">
      <c r="A20" t="str">
        <f>Bruno[[#This Row],[Jogos]]</f>
        <v>Cruzeiro x Flamengo</v>
      </c>
      <c r="B20" t="str">
        <f>Bruno[[#This Row],[Competição]]</f>
        <v>Brasileirão (24ª rodada)</v>
      </c>
      <c r="C20" t="str">
        <f>Bruno[[#This Row],[Placar Final]]</f>
        <v>2x1 (Arroyo e Matheus Pereira; Pedro)</v>
      </c>
      <c r="D20" t="s">
        <v>38</v>
      </c>
      <c r="E20">
        <v>0</v>
      </c>
      <c r="F20" t="s">
        <v>38</v>
      </c>
    </row>
    <row r="21" spans="1:6" x14ac:dyDescent="0.3">
      <c r="A21" t="str">
        <f>Bruno[[#This Row],[Jogos]]</f>
        <v>Newcastle x Liverpool</v>
      </c>
      <c r="B21" t="str">
        <f>Bruno[[#This Row],[Competição]]</f>
        <v>Premier League (1ª rodada)</v>
      </c>
      <c r="C21" t="str">
        <f>Bruno[[#This Row],[Placar Final]]</f>
        <v>2x2 (Elanga e Willock; Gakpo e Szoboszlai)</v>
      </c>
      <c r="D21" t="s">
        <v>163</v>
      </c>
      <c r="E21">
        <v>4</v>
      </c>
      <c r="F21" t="s">
        <v>168</v>
      </c>
    </row>
    <row r="22" spans="1:6" x14ac:dyDescent="0.3">
      <c r="A22" t="str">
        <f>Bruno[[#This Row],[Jogos]]</f>
        <v>Vitória x Bahia</v>
      </c>
      <c r="B22" t="str">
        <f>Bruno[[#This Row],[Competição]]</f>
        <v>Brasileirão (24ª rodada)</v>
      </c>
      <c r="C22" t="str">
        <f>Bruno[[#This Row],[Placar Final]]</f>
        <v>0x2 (Alejo Véliz e Jean Lucas)</v>
      </c>
      <c r="D22" t="s">
        <v>170</v>
      </c>
      <c r="E22">
        <v>0</v>
      </c>
      <c r="F22" t="s">
        <v>38</v>
      </c>
    </row>
    <row r="23" spans="1:6" x14ac:dyDescent="0.3">
      <c r="A23" t="str">
        <f>Bruno[[#This Row],[Jogos]]</f>
        <v>ASA x Gama</v>
      </c>
      <c r="B23" t="str">
        <f>Bruno[[#This Row],[Competição]]</f>
        <v>Brasileirão D (Semifinal)</v>
      </c>
      <c r="C23" t="str">
        <f>Bruno[[#This Row],[Placar Final]]</f>
        <v>2x0 (Motta e Sammuel)</v>
      </c>
      <c r="D23" t="s">
        <v>45</v>
      </c>
      <c r="E23">
        <v>1</v>
      </c>
      <c r="F23" t="s">
        <v>27</v>
      </c>
    </row>
    <row r="24" spans="1:6" x14ac:dyDescent="0.3">
      <c r="A24" t="str">
        <f>Bruno[[#This Row],[Jogos]]</f>
        <v>Criciúma x Fortaleza</v>
      </c>
      <c r="B24" t="str">
        <f>Bruno[[#This Row],[Competição]]</f>
        <v>Brasileirão B (24ª rodada)</v>
      </c>
      <c r="C24" t="str">
        <f>Bruno[[#This Row],[Placar Final]]</f>
        <v>0x2 (Pedro Henrique e Paulo Baya)</v>
      </c>
      <c r="D24" t="s">
        <v>176</v>
      </c>
      <c r="E24">
        <v>0</v>
      </c>
      <c r="F24" t="s">
        <v>38</v>
      </c>
    </row>
    <row r="25" spans="1:6" x14ac:dyDescent="0.3">
      <c r="A25" t="str">
        <f>Bruno[[#This Row],[Jogos]]</f>
        <v>Fulham x Chelsea</v>
      </c>
      <c r="B25" t="str">
        <f>Bruno[[#This Row],[Competição]]</f>
        <v>Premier League (1ª rodada)</v>
      </c>
      <c r="C25" t="str">
        <f>Bruno[[#This Row],[Placar Final]]</f>
        <v>2x3 (King e Gonzalo Garcia; João Pedro, Rogers e Palmer)</v>
      </c>
      <c r="D25" t="s">
        <v>182</v>
      </c>
      <c r="E25">
        <v>2</v>
      </c>
      <c r="F25" t="s">
        <v>184</v>
      </c>
    </row>
    <row r="26" spans="1:6" x14ac:dyDescent="0.3">
      <c r="A26" t="str">
        <f>Bruno[[#This Row],[Jogos]]</f>
        <v>Tottenham x Newcastle</v>
      </c>
      <c r="B26" t="str">
        <f>Bruno[[#This Row],[Competição]]</f>
        <v>Premier League (2ª rodada)</v>
      </c>
      <c r="C26" t="str">
        <f>Bruno[[#This Row],[Placar Final]]</f>
        <v>0x2 (Elanga e Wissa)</v>
      </c>
      <c r="D26" t="s">
        <v>190</v>
      </c>
      <c r="E26">
        <v>0</v>
      </c>
      <c r="F26" t="s">
        <v>38</v>
      </c>
    </row>
    <row r="27" spans="1:6" x14ac:dyDescent="0.3">
      <c r="A27" t="str">
        <f>Bruno[[#This Row],[Jogos]]</f>
        <v>Flamengo x Botafogo</v>
      </c>
      <c r="B27" t="str">
        <f>Bruno[[#This Row],[Competição]]</f>
        <v>Brasileirão (25ª rodada)</v>
      </c>
      <c r="C27" t="str">
        <f>Bruno[[#This Row],[Placar Final]]</f>
        <v>3x0 (Samuel Lino 2x e Carrascal)</v>
      </c>
      <c r="D27" t="s">
        <v>200</v>
      </c>
      <c r="E27">
        <v>0</v>
      </c>
      <c r="F27" t="s">
        <v>38</v>
      </c>
    </row>
    <row r="28" spans="1:6" x14ac:dyDescent="0.3">
      <c r="A28" t="str">
        <f>Bruno[[#This Row],[Jogos]]</f>
        <v>Corinthians x Santos</v>
      </c>
      <c r="B28" t="str">
        <f>Bruno[[#This Row],[Competição]]</f>
        <v>Brasileirão (25ª rodada)</v>
      </c>
      <c r="C28" t="str">
        <f>Bruno[[#This Row],[Placar Final]]</f>
        <v>0x1 (Oliva)</v>
      </c>
      <c r="D28" t="s">
        <v>201</v>
      </c>
      <c r="E28">
        <v>0</v>
      </c>
      <c r="F28" t="s">
        <v>38</v>
      </c>
    </row>
    <row r="29" spans="1:6" x14ac:dyDescent="0.3">
      <c r="A29" t="str">
        <f>Bruno[[#This Row],[Jogos]]</f>
        <v>Gama x ASA</v>
      </c>
      <c r="B29" t="str">
        <f>Bruno[[#This Row],[Competição]]</f>
        <v>Brasileirão D (Semifinal)</v>
      </c>
      <c r="C29" t="str">
        <f>Bruno[[#This Row],[Placar Final]]</f>
        <v>0x0</v>
      </c>
      <c r="D29" t="s">
        <v>202</v>
      </c>
      <c r="E29">
        <v>1</v>
      </c>
      <c r="F29" t="s">
        <v>27</v>
      </c>
    </row>
    <row r="30" spans="1:6" x14ac:dyDescent="0.3">
      <c r="A30" t="str">
        <f>Bruno[[#This Row],[Jogos]]</f>
        <v>ABC x Uberlândia</v>
      </c>
      <c r="B30" t="str">
        <f>Bruno[[#This Row],[Competição]]</f>
        <v>Brasileirão D (Semifinal)</v>
      </c>
      <c r="C30" t="str">
        <f>Bruno[[#This Row],[Placar Final]]</f>
        <v>1x1 (Jhosefer; Tomas Bastos)</v>
      </c>
      <c r="D30" t="s">
        <v>45</v>
      </c>
      <c r="E30">
        <v>3</v>
      </c>
      <c r="F30" t="s">
        <v>63</v>
      </c>
    </row>
    <row r="31" spans="1:6" x14ac:dyDescent="0.3">
      <c r="A31" t="str">
        <f>Bruno[[#This Row],[Jogos]]</f>
        <v>Remo x Coritiba</v>
      </c>
      <c r="B31" t="str">
        <f>Bruno[[#This Row],[Competição]]</f>
        <v>Brasileirão (25ª rodada)</v>
      </c>
      <c r="C31" t="str">
        <f>Bruno[[#This Row],[Placar Final]]</f>
        <v>2x3 (Zé Ricardo e Yago Pikachu; Zé Welison [contra], Fabinho e Pedro Rocha)</v>
      </c>
      <c r="D31" t="s">
        <v>219</v>
      </c>
      <c r="E31">
        <v>0</v>
      </c>
      <c r="F31" t="s">
        <v>38</v>
      </c>
    </row>
    <row r="32" spans="1:6" x14ac:dyDescent="0.3">
      <c r="A32" t="str">
        <f>Bruno[[#This Row],[Jogos]]</f>
        <v>Real Bétis x Real Madrid</v>
      </c>
      <c r="B32" t="str">
        <f>Bruno[[#This Row],[Competição]]</f>
        <v>Espanhol (4ª rodada)</v>
      </c>
      <c r="C32" t="str">
        <f>Bruno[[#This Row],[Placar Final]]</f>
        <v>1x0 (Troy Parrott)</v>
      </c>
      <c r="D32" t="s">
        <v>230</v>
      </c>
      <c r="E32">
        <v>1</v>
      </c>
      <c r="F32" t="s">
        <v>27</v>
      </c>
    </row>
    <row r="33" spans="1:6" x14ac:dyDescent="0.3">
      <c r="A33" t="str">
        <f>Bruno[[#This Row],[Jogos]]</f>
        <v>PSG X Mônaco</v>
      </c>
      <c r="B33" t="str">
        <f>Bruno[[#This Row],[Competição]]</f>
        <v>Francês (3ª rodada)</v>
      </c>
      <c r="C33" t="str">
        <f>Bruno[[#This Row],[Placar Final]]</f>
        <v>1x2 (Marquinhos; Nazinho e Idumbo)</v>
      </c>
      <c r="D33" t="s">
        <v>231</v>
      </c>
      <c r="E33">
        <v>0</v>
      </c>
      <c r="F33" t="s">
        <v>38</v>
      </c>
    </row>
    <row r="34" spans="1:6" x14ac:dyDescent="0.3">
      <c r="A34" t="str">
        <f>Bruno[[#This Row],[Jogos]]</f>
        <v>Red Bull Bragantino x Bahia</v>
      </c>
      <c r="B34" t="str">
        <f>Bruno[[#This Row],[Competição]]</f>
        <v>Brasileirão (26ª rodada)</v>
      </c>
      <c r="C34" t="str">
        <f>Bruno[[#This Row],[Placar Final]]</f>
        <v>2x3 (Lucas Barbosa e Ramos Mingo [contra]; Luciano Juba, Alejo Véliz e Erick)</v>
      </c>
      <c r="D34" t="s">
        <v>237</v>
      </c>
      <c r="E34">
        <v>0</v>
      </c>
      <c r="F34" t="s">
        <v>38</v>
      </c>
    </row>
    <row r="35" spans="1:6" x14ac:dyDescent="0.3">
      <c r="A35" t="str">
        <f>Bruno[[#This Row],[Jogos]]</f>
        <v>Fluminense x Vasco</v>
      </c>
      <c r="B35" t="str">
        <f>Bruno[[#This Row],[Competição]]</f>
        <v>Brasileirão (26ª rodada)</v>
      </c>
      <c r="C35" t="str">
        <f>Bruno[[#This Row],[Placar Final]]</f>
        <v>1x0 (Lucho Acosta)</v>
      </c>
      <c r="D35" t="s">
        <v>252</v>
      </c>
      <c r="E35">
        <v>1</v>
      </c>
      <c r="F35" t="s">
        <v>27</v>
      </c>
    </row>
    <row r="36" spans="1:6" x14ac:dyDescent="0.3">
      <c r="A36" t="str">
        <f>Bruno[[#This Row],[Jogos]]</f>
        <v>Arsenal x Chelsea</v>
      </c>
      <c r="B36" t="str">
        <f>Bruno[[#This Row],[Competição]]</f>
        <v>Premier League (3ª rodada)</v>
      </c>
      <c r="C36" t="str">
        <f>Bruno[[#This Row],[Placar Final]]</f>
        <v>2x1 (Havertz e Odegaard; Rogers)</v>
      </c>
      <c r="D36" t="s">
        <v>253</v>
      </c>
      <c r="E36">
        <v>4</v>
      </c>
      <c r="F36" t="s">
        <v>153</v>
      </c>
    </row>
    <row r="37" spans="1:6" x14ac:dyDescent="0.3">
      <c r="A37" t="str">
        <f>Bruno[[#This Row],[Jogos]]</f>
        <v>Juventus x Milan</v>
      </c>
      <c r="B37" t="str">
        <f>Bruno[[#This Row],[Competição]]</f>
        <v>Serie A TIM (3ª rodada)</v>
      </c>
      <c r="C37" t="str">
        <f>Bruno[[#This Row],[Placar Final]]</f>
        <v>1x1 (Federico Gatti; Alphadjo Cisse)</v>
      </c>
      <c r="D37" t="s">
        <v>38</v>
      </c>
      <c r="E37">
        <v>0</v>
      </c>
      <c r="F37" t="s">
        <v>38</v>
      </c>
    </row>
    <row r="38" spans="1:6" x14ac:dyDescent="0.3">
      <c r="A38" t="str">
        <f>Bruno[[#This Row],[Jogos]]</f>
        <v>Cruzeiro x Athletico</v>
      </c>
      <c r="B38" t="str">
        <f>Bruno[[#This Row],[Competição]]</f>
        <v>Brasileirão (26ª rodada)</v>
      </c>
      <c r="C38" t="str">
        <f>Bruno[[#This Row],[Placar Final]]</f>
        <v>3x1 (Matheus Pereira, Lucas Romero e Kaio Jorge; João Cruz)</v>
      </c>
      <c r="D38" t="s">
        <v>38</v>
      </c>
      <c r="E38">
        <v>0</v>
      </c>
      <c r="F38" t="s">
        <v>38</v>
      </c>
    </row>
    <row r="39" spans="1:6" x14ac:dyDescent="0.3">
      <c r="A39" t="str">
        <f>Bruno[[#This Row],[Jogos]]</f>
        <v>ASA x Uberlândia</v>
      </c>
      <c r="B39" t="str">
        <f>Bruno[[#This Row],[Competição]]</f>
        <v>Brasileirão D (Final)</v>
      </c>
      <c r="C39" t="str">
        <f>Bruno[[#This Row],[Placar Final]]</f>
        <v>0x1 (Ferreira [contra])</v>
      </c>
      <c r="D39" t="s">
        <v>267</v>
      </c>
      <c r="E39">
        <v>0</v>
      </c>
      <c r="F39" t="s">
        <v>38</v>
      </c>
    </row>
    <row r="40" spans="1:6" x14ac:dyDescent="0.3">
      <c r="A40" t="str">
        <f>Bruno[[#This Row],[Jogos]]</f>
        <v>Botafogo x Palmeiras</v>
      </c>
      <c r="B40" t="str">
        <f>Bruno[[#This Row],[Competição]]</f>
        <v>Brasileirão (26ª rodada)</v>
      </c>
      <c r="C40" t="str">
        <f>Bruno[[#This Row],[Placar Final]]</f>
        <v>0x0</v>
      </c>
      <c r="D40" t="s">
        <v>38</v>
      </c>
      <c r="E40">
        <v>0</v>
      </c>
      <c r="F40" t="s">
        <v>38</v>
      </c>
    </row>
    <row r="41" spans="1:6" x14ac:dyDescent="0.3">
      <c r="A41" t="str">
        <f>Bruno[[#This Row],[Jogos]]</f>
        <v>Club Brugge x Aston Villa</v>
      </c>
      <c r="B41" t="str">
        <f>Bruno[[#This Row],[Competição]]</f>
        <v>Champions (1ª rodada)</v>
      </c>
      <c r="C41" t="str">
        <f>Bruno[[#This Row],[Placar Final]]</f>
        <v>2x3 (Vetlesen e Tresoldi; McGinn, Buendía e Nicolas Jackson)</v>
      </c>
      <c r="D41" t="s">
        <v>281</v>
      </c>
      <c r="E41">
        <v>2</v>
      </c>
      <c r="F41" t="s">
        <v>283</v>
      </c>
    </row>
    <row r="42" spans="1:6" x14ac:dyDescent="0.3">
      <c r="A42" t="str">
        <f>Bruno[[#This Row],[Jogos]]</f>
        <v>Real Madrid x Internazionale</v>
      </c>
      <c r="B42" t="str">
        <f>Bruno[[#This Row],[Competição]]</f>
        <v>Champions (1ª rodada)</v>
      </c>
      <c r="C42" t="str">
        <f>Bruno[[#This Row],[Placar Final]]</f>
        <v>2x1 (Mbappé e Valverde; Carlos Augusto)</v>
      </c>
      <c r="D42" t="s">
        <v>286</v>
      </c>
      <c r="E42">
        <v>3</v>
      </c>
      <c r="F42" t="s">
        <v>291</v>
      </c>
    </row>
    <row r="43" spans="1:6" x14ac:dyDescent="0.3">
      <c r="A43" t="str">
        <f>Bruno[[#This Row],[Jogos]]</f>
        <v>Napoli x Arsenal</v>
      </c>
      <c r="B43" t="str">
        <f>Bruno[[#This Row],[Competição]]</f>
        <v>Champions (1ª rodada)</v>
      </c>
      <c r="C43" t="str">
        <f>Bruno[[#This Row],[Placar Final]]</f>
        <v>0x1 (Odegaard)</v>
      </c>
      <c r="D43" t="s">
        <v>295</v>
      </c>
      <c r="E43">
        <v>3</v>
      </c>
      <c r="F43" t="s">
        <v>126</v>
      </c>
    </row>
    <row r="44" spans="1:6" x14ac:dyDescent="0.3">
      <c r="A44" t="str">
        <f>Bruno[[#This Row],[Jogos]]</f>
        <v>Liverpool x Atlético de Madrid</v>
      </c>
      <c r="B44" t="str">
        <f>Bruno[[#This Row],[Competição]]</f>
        <v>Champions (1ª rodada)</v>
      </c>
      <c r="C44" t="str">
        <f>Bruno[[#This Row],[Placar Final]]</f>
        <v>2x1 (Szoboszlai e Mac Allister; Llorente)</v>
      </c>
      <c r="D44" s="10" t="s">
        <v>296</v>
      </c>
      <c r="E44">
        <v>8</v>
      </c>
      <c r="F44" t="s">
        <v>122</v>
      </c>
    </row>
    <row r="45" spans="1:6" x14ac:dyDescent="0.3">
      <c r="A45" t="str">
        <f>Bruno[[#This Row],[Jogos]]</f>
        <v>Coritiba x Athletico</v>
      </c>
      <c r="B45" t="str">
        <f>Bruno[[#This Row],[Competição]]</f>
        <v>Brasileirão (27ª rodada)</v>
      </c>
      <c r="C45" t="str">
        <f>Bruno[[#This Row],[Placar Final]]</f>
        <v>3x3 (Tiago Coser e Rodrigo Moledo 2x; Luiz Gustavo, Arthur Dias e Viveros)</v>
      </c>
      <c r="D45" t="s">
        <v>305</v>
      </c>
      <c r="E45">
        <v>4</v>
      </c>
      <c r="F45" t="s">
        <v>306</v>
      </c>
    </row>
    <row r="46" spans="1:6" x14ac:dyDescent="0.3">
      <c r="A46" t="str">
        <f>Bruno[[#This Row],[Jogos]]</f>
        <v>Aston Villa x Nottingham Forest</v>
      </c>
      <c r="B46" t="str">
        <f>Bruno[[#This Row],[Competição]]</f>
        <v>Premier League (4ª rodada)</v>
      </c>
      <c r="C46" t="str">
        <f>Bruno[[#This Row],[Placar Final]]</f>
        <v>1x2 (Alysson; Delap e Igor Jesus)</v>
      </c>
      <c r="D46" t="s">
        <v>319</v>
      </c>
      <c r="E46">
        <v>1</v>
      </c>
      <c r="F46" t="s">
        <v>320</v>
      </c>
    </row>
    <row r="47" spans="1:6" x14ac:dyDescent="0.3">
      <c r="A47" t="str">
        <f>Bruno[[#This Row],[Jogos]]</f>
        <v>Lazio x Milan</v>
      </c>
      <c r="B47" t="str">
        <f>Bruno[[#This Row],[Competição]]</f>
        <v>Serie A TIM (4ª rodada)</v>
      </c>
      <c r="C47" t="str">
        <f>Bruno[[#This Row],[Placar Final]]</f>
        <v>2x2 (Cancellieri e Noslin; Diego Moreira 2x)</v>
      </c>
      <c r="D47" t="s">
        <v>321</v>
      </c>
      <c r="E47">
        <v>1</v>
      </c>
      <c r="F47" t="s">
        <v>27</v>
      </c>
    </row>
    <row r="48" spans="1:6" x14ac:dyDescent="0.3">
      <c r="A48" t="str">
        <f>Bruno[[#This Row],[Jogos]]</f>
        <v>Tottenham x Everton</v>
      </c>
      <c r="B48" t="str">
        <f>Bruno[[#This Row],[Competição]]</f>
        <v>Premier League (4ª rodada)</v>
      </c>
      <c r="C48" t="str">
        <f>Bruno[[#This Row],[Placar Final]]</f>
        <v>0x0</v>
      </c>
      <c r="D48" t="s">
        <v>322</v>
      </c>
      <c r="E48">
        <v>0</v>
      </c>
      <c r="F48" t="s">
        <v>38</v>
      </c>
    </row>
    <row r="49" spans="1:6" x14ac:dyDescent="0.3">
      <c r="A49" t="str">
        <f>Bruno[[#This Row],[Jogos]]</f>
        <v>Palmeiras x São Paulo</v>
      </c>
      <c r="B49" t="str">
        <f>Bruno[[#This Row],[Competição]]</f>
        <v>Brasileirão (27ª rodada)</v>
      </c>
      <c r="C49" t="str">
        <f>Bruno[[#This Row],[Placar Final]]</f>
        <v>2x0 (Murilo e Vitor Roque)</v>
      </c>
      <c r="D49" t="s">
        <v>329</v>
      </c>
      <c r="E49">
        <v>3</v>
      </c>
      <c r="F49" t="s">
        <v>126</v>
      </c>
    </row>
    <row r="50" spans="1:6" x14ac:dyDescent="0.3">
      <c r="A50" t="str">
        <f>Bruno[[#This Row],[Jogos]]</f>
        <v>Santos x Cruzeiro</v>
      </c>
      <c r="B50" t="str">
        <f>Bruno[[#This Row],[Competição]]</f>
        <v>Brasileirão (27ª rodada)</v>
      </c>
      <c r="C50" t="str">
        <f>Bruno[[#This Row],[Placar Final]]</f>
        <v>2x1 (Rollheiser e Fabricio Bruno [contra]; Matheus Pereira)</v>
      </c>
      <c r="D50" t="s">
        <v>336</v>
      </c>
      <c r="E50">
        <v>2</v>
      </c>
      <c r="F50" t="s">
        <v>338</v>
      </c>
    </row>
    <row r="51" spans="1:6" x14ac:dyDescent="0.3">
      <c r="A51" t="str">
        <f>Bruno[[#This Row],[Jogos]]</f>
        <v>Manchester United x Manchester City</v>
      </c>
      <c r="B51" t="str">
        <f>Bruno[[#This Row],[Competição]]</f>
        <v>Premier League (4ª rodada)</v>
      </c>
      <c r="C51" t="str">
        <f>Bruno[[#This Row],[Placar Final]]</f>
        <v>0x1 (Haaland)</v>
      </c>
      <c r="D51" t="s">
        <v>339</v>
      </c>
      <c r="E51">
        <v>4</v>
      </c>
      <c r="F51" t="s">
        <v>340</v>
      </c>
    </row>
    <row r="52" spans="1:6" x14ac:dyDescent="0.3">
      <c r="A52" t="str">
        <f>Bruno[[#This Row],[Jogos]]</f>
        <v>Uberlândia x ASA</v>
      </c>
      <c r="B52" t="str">
        <f>Bruno[[#This Row],[Competição]]</f>
        <v>Brasileirão D (Final)</v>
      </c>
      <c r="C52" t="str">
        <f>Bruno[[#This Row],[Placar Final]]</f>
        <v>1x1 (Marcos Calazans; Michel Douglas)</v>
      </c>
      <c r="D52" t="s">
        <v>158</v>
      </c>
      <c r="E52">
        <v>1</v>
      </c>
      <c r="F52" t="s">
        <v>27</v>
      </c>
    </row>
    <row r="53" spans="1:6" x14ac:dyDescent="0.3">
      <c r="A53" t="str">
        <f>Bruno[[#This Row],[Jogos]]</f>
        <v>Flamengo x Corinthians</v>
      </c>
      <c r="B53" t="str">
        <f>Bruno[[#This Row],[Competição]]</f>
        <v>Brasileirão (27ª rodada)</v>
      </c>
      <c r="C53" t="str">
        <f>Bruno[[#This Row],[Placar Final]]</f>
        <v>2x1 (Lucas Paquetá e Bruno Henrique; Gui Negão)</v>
      </c>
      <c r="D53" t="s">
        <v>348</v>
      </c>
      <c r="E53">
        <v>2</v>
      </c>
      <c r="F53" t="s">
        <v>132</v>
      </c>
    </row>
    <row r="54" spans="1:6" x14ac:dyDescent="0.3">
      <c r="A54" t="str">
        <f>Bruno[[#This Row],[Jogos]]</f>
        <v>Liverpool x Tottenham</v>
      </c>
      <c r="B54" t="str">
        <f>Bruno[[#This Row],[Competição]]</f>
        <v>Copa da Liga Inglesa (3ª rodada)</v>
      </c>
      <c r="C54" t="str">
        <f>Bruno[[#This Row],[Placar Final]]</f>
        <v>3x1 (Mac Allister,Gakpo e Szoboszlai; Gallagher)</v>
      </c>
      <c r="D54" t="s">
        <v>356</v>
      </c>
      <c r="E54">
        <v>4</v>
      </c>
      <c r="F54" t="s">
        <v>361</v>
      </c>
    </row>
    <row r="55" spans="1:6" x14ac:dyDescent="0.3">
      <c r="A55" t="s">
        <v>2</v>
      </c>
      <c r="E55">
        <f>SUBTOTAL(109,Gabriel[Pontuação])</f>
        <v>105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B4488-2C22-4DB4-8DFC-46083E3E9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</vt:lpstr>
      <vt:lpstr>Bruno</vt:lpstr>
      <vt:lpstr>Davi</vt:lpstr>
      <vt:lpstr>Douglas</vt:lpstr>
      <vt:lpstr>Gabriel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 Manoel</dc:creator>
  <cp:keywords/>
  <dc:description/>
  <cp:lastModifiedBy>Douglas Manoel</cp:lastModifiedBy>
  <cp:revision/>
  <dcterms:created xsi:type="dcterms:W3CDTF">2026-06-20T22:09:08Z</dcterms:created>
  <dcterms:modified xsi:type="dcterms:W3CDTF">2026-09-16T12:37:47Z</dcterms:modified>
  <cp:category/>
  <cp:contentStatus/>
</cp:coreProperties>
</file>