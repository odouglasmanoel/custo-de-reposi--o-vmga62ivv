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glas.manoel\Documents\"/>
    </mc:Choice>
  </mc:AlternateContent>
  <xr:revisionPtr revIDLastSave="0" documentId="8_{0802AFE0-9096-43AB-98CE-1759D40A3469}" xr6:coauthVersionLast="47" xr6:coauthVersionMax="47" xr10:uidLastSave="{00000000-0000-0000-0000-000000000000}"/>
  <bookViews>
    <workbookView xWindow="20370" yWindow="-120" windowWidth="20640" windowHeight="11160" xr2:uid="{24A7BAF4-38C6-4154-A821-521213786B51}"/>
  </bookViews>
  <sheets>
    <sheet name="Tabela" sheetId="6" r:id="rId1"/>
    <sheet name="Bruno" sheetId="2" r:id="rId2"/>
    <sheet name="Davi" sheetId="3" r:id="rId3"/>
    <sheet name="Douglas" sheetId="4" r:id="rId4"/>
    <sheet name="Gabriel" sheetId="5" r:id="rId5"/>
  </sheets>
  <definedNames>
    <definedName name="_xlcn.WorksheetConnection_BolãodoGrupo.xlsxBruno1" hidden="1">Bruno[]</definedName>
    <definedName name="_xlcn.WorksheetConnection_BolãodoGrupo.xlsxDavi1" hidden="1">Davi[]</definedName>
    <definedName name="_xlcn.WorksheetConnection_BolãodoGrupo.xlsxDouglas1" hidden="1">Douglas[]</definedName>
    <definedName name="_xlcn.WorksheetConnection_BolãodoGrupo.xlsxGabriel1" hidden="1">Gabriel[]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uno" name="Bruno" connection="WorksheetConnection_Bolão do Grupo.xlsx!Bruno"/>
          <x15:modelTable id="Davi" name="Davi" connection="WorksheetConnection_Bolão do Grupo.xlsx!Davi"/>
          <x15:modelTable id="Douglas" name="Douglas" connection="WorksheetConnection_Bolão do Grupo.xlsx!Douglas"/>
          <x15:modelTable id="Gabriel" name="Gabriel" connection="WorksheetConnection_Bolão do Grupo.xlsx!Gabri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2" l="1"/>
  <c r="C5" i="6" s="1"/>
  <c r="A30" i="3"/>
  <c r="B30" i="3"/>
  <c r="A29" i="3"/>
  <c r="B29" i="3"/>
  <c r="A28" i="3"/>
  <c r="B28" i="3"/>
  <c r="A27" i="3"/>
  <c r="B27" i="3"/>
  <c r="A30" i="4"/>
  <c r="B30" i="4"/>
  <c r="A29" i="4"/>
  <c r="B29" i="4"/>
  <c r="A28" i="4"/>
  <c r="B28" i="4"/>
  <c r="A27" i="4"/>
  <c r="B27" i="4"/>
  <c r="A30" i="5"/>
  <c r="B30" i="5"/>
  <c r="A29" i="5"/>
  <c r="B29" i="5"/>
  <c r="A28" i="5"/>
  <c r="B28" i="5"/>
  <c r="A27" i="5"/>
  <c r="B27" i="5"/>
  <c r="A26" i="3"/>
  <c r="B26" i="3"/>
  <c r="A25" i="3"/>
  <c r="B25" i="3"/>
  <c r="A24" i="3"/>
  <c r="B24" i="3"/>
  <c r="A23" i="3"/>
  <c r="B23" i="3"/>
  <c r="A22" i="3"/>
  <c r="B22" i="3"/>
  <c r="A21" i="3"/>
  <c r="B21" i="3"/>
  <c r="A20" i="3"/>
  <c r="B20" i="3"/>
  <c r="A19" i="3"/>
  <c r="B19" i="3"/>
  <c r="A26" i="4"/>
  <c r="B26" i="4"/>
  <c r="A25" i="4"/>
  <c r="B25" i="4"/>
  <c r="A24" i="4"/>
  <c r="B24" i="4"/>
  <c r="A23" i="4"/>
  <c r="B23" i="4"/>
  <c r="A22" i="4"/>
  <c r="B22" i="4"/>
  <c r="A21" i="4"/>
  <c r="B21" i="4"/>
  <c r="A20" i="4"/>
  <c r="B20" i="4"/>
  <c r="A19" i="4"/>
  <c r="B19" i="4"/>
  <c r="A26" i="5"/>
  <c r="B26" i="5"/>
  <c r="A25" i="5"/>
  <c r="B25" i="5"/>
  <c r="A24" i="5"/>
  <c r="B24" i="5"/>
  <c r="A23" i="5"/>
  <c r="B23" i="5"/>
  <c r="A22" i="5"/>
  <c r="B22" i="5"/>
  <c r="A21" i="5"/>
  <c r="B21" i="5"/>
  <c r="A20" i="5"/>
  <c r="B20" i="5"/>
  <c r="A19" i="5"/>
  <c r="B19" i="5"/>
  <c r="E18" i="4"/>
  <c r="A18" i="3"/>
  <c r="B18" i="3"/>
  <c r="A18" i="4"/>
  <c r="B18" i="4"/>
  <c r="A18" i="5"/>
  <c r="B18" i="5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5" i="5"/>
  <c r="B5" i="5"/>
  <c r="A4" i="5"/>
  <c r="B4" i="5"/>
  <c r="A3" i="5"/>
  <c r="B3" i="5"/>
  <c r="A2" i="5"/>
  <c r="A2" i="4"/>
  <c r="A3" i="4"/>
  <c r="A4" i="4"/>
  <c r="A5" i="4"/>
  <c r="A2" i="3"/>
  <c r="A3" i="3"/>
  <c r="A4" i="3"/>
  <c r="A5" i="3"/>
  <c r="B2" i="5"/>
  <c r="B2" i="4"/>
  <c r="B3" i="4"/>
  <c r="B4" i="4"/>
  <c r="B5" i="4"/>
  <c r="B2" i="3"/>
  <c r="B3" i="3"/>
  <c r="B4" i="3"/>
  <c r="B5" i="3"/>
  <c r="D31" i="5"/>
  <c r="C4" i="6" s="1"/>
  <c r="D31" i="4"/>
  <c r="C3" i="6" s="1"/>
  <c r="D31" i="3"/>
  <c r="C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Bolão do Grupo.xlsx!Bruno" type="102" refreshedVersion="8" minRefreshableVersion="5">
    <extLst>
      <ext xmlns:x15="http://schemas.microsoft.com/office/spreadsheetml/2010/11/main" uri="{DE250136-89BD-433C-8126-D09CA5730AF9}">
        <x15:connection id="Bruno" autoDelete="1">
          <x15:rangePr sourceName="_xlcn.WorksheetConnection_BolãodoGrupo.xlsxBruno1"/>
        </x15:connection>
      </ext>
    </extLst>
  </connection>
  <connection id="3" xr16:uid="{00000000-0015-0000-FFFF-FFFF02000000}" name="WorksheetConnection_Bolão do Grupo.xlsx!Davi" type="102" refreshedVersion="8" minRefreshableVersion="5">
    <extLst>
      <ext xmlns:x15="http://schemas.microsoft.com/office/spreadsheetml/2010/11/main" uri="{DE250136-89BD-433C-8126-D09CA5730AF9}">
        <x15:connection id="Davi">
          <x15:rangePr sourceName="_xlcn.WorksheetConnection_BolãodoGrupo.xlsxDavi1"/>
        </x15:connection>
      </ext>
    </extLst>
  </connection>
  <connection id="4" xr16:uid="{00000000-0015-0000-FFFF-FFFF03000000}" name="WorksheetConnection_Bolão do Grupo.xlsx!Douglas" type="102" refreshedVersion="8" minRefreshableVersion="5">
    <extLst>
      <ext xmlns:x15="http://schemas.microsoft.com/office/spreadsheetml/2010/11/main" uri="{DE250136-89BD-433C-8126-D09CA5730AF9}">
        <x15:connection id="Douglas">
          <x15:rangePr sourceName="_xlcn.WorksheetConnection_BolãodoGrupo.xlsxDouglas1"/>
        </x15:connection>
      </ext>
    </extLst>
  </connection>
  <connection id="5" xr16:uid="{00000000-0015-0000-FFFF-FFFF04000000}" name="WorksheetConnection_Bolão do Grupo.xlsx!Gabriel" type="102" refreshedVersion="8" minRefreshableVersion="5">
    <extLst>
      <ext xmlns:x15="http://schemas.microsoft.com/office/spreadsheetml/2010/11/main" uri="{DE250136-89BD-433C-8126-D09CA5730AF9}">
        <x15:connection id="Gabriel">
          <x15:rangePr sourceName="_xlcn.WorksheetConnection_BolãodoGrupo.xlsxGabriel1"/>
        </x15:connection>
      </ext>
    </extLst>
  </connection>
</connections>
</file>

<file path=xl/sharedStrings.xml><?xml version="1.0" encoding="utf-8"?>
<sst xmlns="http://schemas.openxmlformats.org/spreadsheetml/2006/main" count="326" uniqueCount="160">
  <si>
    <t>Placar Final</t>
  </si>
  <si>
    <t>-</t>
  </si>
  <si>
    <t>Pontuação Total</t>
  </si>
  <si>
    <t>Jogos</t>
  </si>
  <si>
    <t>Pontuação</t>
  </si>
  <si>
    <t>Detalhamento da Pontuação</t>
  </si>
  <si>
    <t>Palpites</t>
  </si>
  <si>
    <t>Participante</t>
  </si>
  <si>
    <t>Bruno</t>
  </si>
  <si>
    <t>Davi</t>
  </si>
  <si>
    <t>Douglas</t>
  </si>
  <si>
    <t>Gabriel</t>
  </si>
  <si>
    <t>Posição</t>
  </si>
  <si>
    <t>1º</t>
  </si>
  <si>
    <t>2º</t>
  </si>
  <si>
    <t>3º</t>
  </si>
  <si>
    <t>4º</t>
  </si>
  <si>
    <t>Última Atualização</t>
  </si>
  <si>
    <t>Vasco x Fluminense</t>
  </si>
  <si>
    <t>Atlético-MG x Juventude</t>
  </si>
  <si>
    <t>Santos x Remo</t>
  </si>
  <si>
    <t>Palmeiras x Fortaleza</t>
  </si>
  <si>
    <t>Mirassol x Grêmio</t>
  </si>
  <si>
    <t>Chapecoense x Cruzeiro</t>
  </si>
  <si>
    <t>Internacional x Corinthians</t>
  </si>
  <si>
    <t>Athletico x Vitória</t>
  </si>
  <si>
    <t>Vitória x Athletico</t>
  </si>
  <si>
    <t>Corinthians x Internacional</t>
  </si>
  <si>
    <t>Cruzeiro x Chapecoense</t>
  </si>
  <si>
    <t>Grêmio x Mirassol</t>
  </si>
  <si>
    <t>Fortaleza x Palmeiras</t>
  </si>
  <si>
    <t>Remo x Santos</t>
  </si>
  <si>
    <t>Juventude x Atlético-MG</t>
  </si>
  <si>
    <t>Fluminense x Vasco</t>
  </si>
  <si>
    <t>1x2 (Cuiabano; Savarino e Jhon Kennedy)</t>
  </si>
  <si>
    <t>1x1 (Jhon Kennedy; Andrés Gómez)</t>
  </si>
  <si>
    <t>1x0 (Robert Renan)</t>
  </si>
  <si>
    <t>0x0</t>
  </si>
  <si>
    <t>Empate</t>
  </si>
  <si>
    <t>Metade do Placar</t>
  </si>
  <si>
    <t>2x1 (Dudu e Lyanco; Alisson Safira)</t>
  </si>
  <si>
    <t>2x0 (Gabriel Bontempo e Rony)</t>
  </si>
  <si>
    <t>1x0 (Neymar)</t>
  </si>
  <si>
    <t>2x0 (Preciado e Bernard)</t>
  </si>
  <si>
    <t>2x1 (Gabriel Barbosa e Rollheiser; Matheus Felipe)</t>
  </si>
  <si>
    <t>3x0 (Maurício, Jhon Arias e Flaco López)</t>
  </si>
  <si>
    <t>2x0 (Maurício e Jhon Arias)</t>
  </si>
  <si>
    <t>Vencedor, Metade do Placar e gols de Maurício e Jhon Arias</t>
  </si>
  <si>
    <t>1x1 (Reinaldo; Carlos Vinicius)</t>
  </si>
  <si>
    <t>0x1 (Kaio Jorge)</t>
  </si>
  <si>
    <t>1x0 (Alan Patrick)</t>
  </si>
  <si>
    <t>3x1 (Sosa, Jhon Arias e Barboza; Luiz Fernando)</t>
  </si>
  <si>
    <t>Vencedor, Metade do Placar e gol do Jhon Arias</t>
  </si>
  <si>
    <t>1x2 (Reinaldo; Marlon e Carlos Vinicius)</t>
  </si>
  <si>
    <t>1x3 (Bolasie; Kaio Jorge, Kenji e Fabrício Bruno)</t>
  </si>
  <si>
    <t>1x2 (Giovanni Augusto; Matheus Pereira e Kaio Jorge)</t>
  </si>
  <si>
    <t>1x1 (Carbonero; Rodrigo Garro)</t>
  </si>
  <si>
    <t>0x2 (Gui Negão e Gustavo Henrique)</t>
  </si>
  <si>
    <t>1x1 (Bruno Santos; Amuzu)</t>
  </si>
  <si>
    <t>Placar Exato</t>
  </si>
  <si>
    <t>2x0 (Matheus Bahia e Alan Patrick)</t>
  </si>
  <si>
    <t>Vencedor, Metade do Placar e gol do Alan Patrick</t>
  </si>
  <si>
    <t>2x0 (Arthur Dias e Terán)</t>
  </si>
  <si>
    <t>1x0 (Viveros)</t>
  </si>
  <si>
    <t>2x0 (Viveros e Leozinho)</t>
  </si>
  <si>
    <t>2x0 (João Cruz e Dudu)</t>
  </si>
  <si>
    <t>Vencedor e Metade do Placar</t>
  </si>
  <si>
    <t>0x1 (Alan Minda)</t>
  </si>
  <si>
    <t>0x2 (Vitor Hugo e Cassierra)</t>
  </si>
  <si>
    <t>1x0</t>
  </si>
  <si>
    <t>2x1</t>
  </si>
  <si>
    <t>0x0, Juventude passa</t>
  </si>
  <si>
    <t>0x0, Remo passa</t>
  </si>
  <si>
    <t>1x1 (Yago Pikachu; Gabriel Barbosa)</t>
  </si>
  <si>
    <t>0x1 (Rony)</t>
  </si>
  <si>
    <t>2x0 (Kaio Jorge e Matheus Pereira)</t>
  </si>
  <si>
    <t>1x0 (Carlos Vinicius)</t>
  </si>
  <si>
    <t>2x0 (Kaio Jorge e Fabrício Bruno)</t>
  </si>
  <si>
    <t>3x0 (William, Fabrício Bruno e Eduardo Doma [contra])</t>
  </si>
  <si>
    <t>2x1 (Gustavo Martins e João Victor [contra]; Reinaldo)</t>
  </si>
  <si>
    <t>2x0 (Matheus Henrique e Kaio Jorge)</t>
  </si>
  <si>
    <t>Placar Exato e gol do Kaio Jorge</t>
  </si>
  <si>
    <t>1x0 (Pavón)</t>
  </si>
  <si>
    <t>Vencedor e Diferença de Gols</t>
  </si>
  <si>
    <t>1x2 (Miritello; Flaco López e Vitor Roque)</t>
  </si>
  <si>
    <t>1x0 (John Kennedy)</t>
  </si>
  <si>
    <t>1x1 (John Kennedy; Brenner)</t>
  </si>
  <si>
    <t>1x0 (Canobbio)</t>
  </si>
  <si>
    <t>1x3 (Martinelli; Brenner 2x e Puma Rodriguez)</t>
  </si>
  <si>
    <t>3x2 (Miritello, Rodriguinho e Lucas Emanoel; Flaco López e Murilo)</t>
  </si>
  <si>
    <t>Metade do Placar e gol do Flaco López</t>
  </si>
  <si>
    <t>Metade do Placar e gol do Brenner</t>
  </si>
  <si>
    <t>Metade do Placar e gols de Miritello e Flaco López)</t>
  </si>
  <si>
    <t>0x0, Vasco passa</t>
  </si>
  <si>
    <t>0x2 (Flaco López e Riquelme Fillipi)</t>
  </si>
  <si>
    <t>1x0 (Luan Cândido)</t>
  </si>
  <si>
    <t>2x1 (Pedro Raul e Gustavo Henrique; Alan Patrick)</t>
  </si>
  <si>
    <t>2x1 (Cacá e Renato Kayzer; Viveros)</t>
  </si>
  <si>
    <t>3x0 (Pedro Raul, Kaio César e Gustavo Henrique)</t>
  </si>
  <si>
    <t>2x0 (Breno Bidon e Gustavo Henrique)</t>
  </si>
  <si>
    <t>1x1 (Renato Kayzer; Viveros)</t>
  </si>
  <si>
    <t>0x2 (Viveros 2x)</t>
  </si>
  <si>
    <t>1x1 (Pedro Raul; Alan Patrick)</t>
  </si>
  <si>
    <t>2x1 (Gustavo Henrique e Pedro Raul; Bernabei)</t>
  </si>
  <si>
    <t>4x0 (Renê 2x, Erick e Marinho)</t>
  </si>
  <si>
    <t>Metade do Placar e gol do Pedro Raul</t>
  </si>
  <si>
    <t>Vencedor, Metade do Placar e gol do Gustavo Henrique</t>
  </si>
  <si>
    <t>Vencedor e gols de Gustavo Henrique e Pedro Raul</t>
  </si>
  <si>
    <t>Placar Exato e gols de Gustavo Henrique e Pedro Raul</t>
  </si>
  <si>
    <t>Vencedor</t>
  </si>
  <si>
    <t>Grêmio x Internacional; Cruzeiro x Atlético-MG; Vasco x Vitória; Palmeiras x Santos</t>
  </si>
  <si>
    <t>Cruzeiro x Internacional; Vitória x Palmeiras; Atlético-MG x Santos; Grêmio x Vasco</t>
  </si>
  <si>
    <t>Vitória x Santos; Internacional x Palmeiras; Atlético-MG x Vasco; Grêmio x Cruzeiro</t>
  </si>
  <si>
    <t>Palmeiras x Santos; Vasco x Vitória; Grêmio x Internacional; Cruzeiro x Atlético-MG</t>
  </si>
  <si>
    <t>Cruzeiro x Atlético-MG</t>
  </si>
  <si>
    <t>Palmeiras x Santos</t>
  </si>
  <si>
    <t>Vasco x Vitória</t>
  </si>
  <si>
    <t>Internacional x Grêmio</t>
  </si>
  <si>
    <t>Atlético-MG x Cruzeiro</t>
  </si>
  <si>
    <t>Santos x Palmeiras</t>
  </si>
  <si>
    <t>Vitória x Vasco</t>
  </si>
  <si>
    <t>Grêmio x Internacional</t>
  </si>
  <si>
    <t>Sorteio das Quartas de Final</t>
  </si>
  <si>
    <t>1x1 (Arroyo; Renan Lodi)</t>
  </si>
  <si>
    <t>1x2 (Kaio Jorge; Cuello e Maycon)</t>
  </si>
  <si>
    <t>1x1 (Kaio Jorge; Ruan)</t>
  </si>
  <si>
    <t>3x1 (Flaco Lopez, Arias e Mauricio; Rony)</t>
  </si>
  <si>
    <t>2x1 (Colidio e Puma Rodriguez; Cacá)</t>
  </si>
  <si>
    <t>1x0 (Adson)</t>
  </si>
  <si>
    <t>3x0 (Vitor Roque, Arias e Murilo)</t>
  </si>
  <si>
    <t>2x0 (Flaco Lopez e Mauricio)</t>
  </si>
  <si>
    <t>1x1 (Colidio; Erick)</t>
  </si>
  <si>
    <t>2x0 (Vitor Roque e Flaco Lopez)</t>
  </si>
  <si>
    <t>2x1 (Spinelli e Colidio; Renato Kayzer)</t>
  </si>
  <si>
    <t>3x0 (Flaco Lopez 2x e Andreas Pereira)</t>
  </si>
  <si>
    <t>1x0 (Andrés Gómez)</t>
  </si>
  <si>
    <t>Vencedor, Metade do Placar e gol do Flaco Lopez</t>
  </si>
  <si>
    <t>2x1 (Cuello e Maycon; Arroyo)</t>
  </si>
  <si>
    <t>1x2 (Cuello; Kaio Jorge e Arroyo)</t>
  </si>
  <si>
    <t>2x1 (Victor Hugo e Fred; Kaio Jorge)</t>
  </si>
  <si>
    <t>Gol do Kaio Jorge</t>
  </si>
  <si>
    <t>0x0, Atlético-MG passa</t>
  </si>
  <si>
    <t>1x2 (Neymar; Flaco Lopez e Vitor Roque)</t>
  </si>
  <si>
    <t>1x0, Vitória passa (Erick)</t>
  </si>
  <si>
    <t>1x1</t>
  </si>
  <si>
    <t>2x1, Vasco passa</t>
  </si>
  <si>
    <t>2x0 (Matheuzinho e Cacá)</t>
  </si>
  <si>
    <t>3x0, Palmeiras passa (Neymar, Gabriel Barbosa e Rony)</t>
  </si>
  <si>
    <t>0x2 (Andrés Gómez e Puma Rodriguez)</t>
  </si>
  <si>
    <t>1x1, Grêmio passa (Pavon; Tonny Sanabria)</t>
  </si>
  <si>
    <t>2x1 (Kannemann e Carlos Vinicius; Bernabei)</t>
  </si>
  <si>
    <t>3x1 (Carlos Vinicius 2x e Krovinović; Vitinho)</t>
  </si>
  <si>
    <t>Vencedor, Metade do Placar e gol do Carlos Vinicius</t>
  </si>
  <si>
    <t>Vasco x Palmeiras</t>
  </si>
  <si>
    <t>Grêmio x Atlético-MG</t>
  </si>
  <si>
    <t>Palmeiras x Vasco</t>
  </si>
  <si>
    <t>Atlético-MG x Grêmio</t>
  </si>
  <si>
    <t xml:space="preserve">01/11 - </t>
  </si>
  <si>
    <t xml:space="preserve">08/11 - </t>
  </si>
  <si>
    <t>08h46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</si>
</sst>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Century Gothic"/>
      <family val="2"/>
    </font>
    <font>
      <sz val="8"/>
      <color theme="1" tint="4.9989318521683403E-2"/>
      <name val="Century Gothic"/>
      <family val="2"/>
    </font>
    <font>
      <sz val="8"/>
      <name val="Century Gothic"/>
      <family val="2"/>
    </font>
    <font>
      <b/>
      <sz val="14"/>
      <color theme="0"/>
      <name val="Century Gothic"/>
      <family val="2"/>
    </font>
    <font>
      <b/>
      <sz val="14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3" borderId="0" xfId="0" applyFont="1" applyFill="1"/>
    <xf numFmtId="0" fontId="4" fillId="0" borderId="0" xfId="0" applyFont="1"/>
    <xf numFmtId="0" fontId="3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6" borderId="0" xfId="0" applyFill="1"/>
    <xf numFmtId="0" fontId="0" fillId="0" borderId="2" xfId="0" applyBorder="1"/>
    <xf numFmtId="16" fontId="0" fillId="0" borderId="0" xfId="0" applyNumberForma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80481C-AFBC-483D-B6BC-4E675DD4B086}" name="Tabela5" displayName="Tabela5" ref="B1:C5" totalsRowShown="0" headerRowDxfId="13" dataDxfId="12">
  <autoFilter ref="B1:C5" xr:uid="{4080481C-AFBC-483D-B6BC-4E675DD4B086}"/>
  <sortState xmlns:xlrd2="http://schemas.microsoft.com/office/spreadsheetml/2017/richdata2" ref="B2:C5">
    <sortCondition descending="1" ref="C1:C5"/>
  </sortState>
  <tableColumns count="2">
    <tableColumn id="1" xr3:uid="{907C4D55-FC92-4991-8DB1-38FC3B2CB1CC}" name="Participante" dataDxfId="11"/>
    <tableColumn id="2" xr3:uid="{9AB59FB6-ED8D-44C5-A286-8429AA20B316}" name="Pontuação Total" dataDxfId="1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0BAD58-B8FB-4E07-8496-D3CDCAF2946C}" name="Bruno" displayName="Bruno" ref="A1:E31" totalsRowCount="1">
  <autoFilter ref="A1:E30" xr:uid="{EA786FA1-AC7A-411B-AA92-99992422E6A0}"/>
  <tableColumns count="5">
    <tableColumn id="1" xr3:uid="{C71385D7-2558-4DA8-B112-3C55DEAAE259}" name="Jogos" totalsRowLabel="Pontuação Total"/>
    <tableColumn id="2" xr3:uid="{3D9EB129-80D6-48B0-9E37-B03BFF05AD57}" name="Placar Final"/>
    <tableColumn id="3" xr3:uid="{C1BDF125-06C3-414F-966F-535C528F27E2}" name="Palpites"/>
    <tableColumn id="4" xr3:uid="{372940E3-AB75-4CF3-A36B-1A1980AB5CE3}" name="Pontuação" totalsRowFunction="sum"/>
    <tableColumn id="5" xr3:uid="{43296C7A-D5F6-4F41-B5C4-7FD96E7AF479}" name="Detalhamento da Pontuação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0010C-3FEC-4721-A2F1-2B1262C27733}" name="Davi" displayName="Davi" ref="A1:E31" totalsRowCount="1">
  <autoFilter ref="A1:E30" xr:uid="{EA786FA1-AC7A-411B-AA92-99992422E6A0}"/>
  <tableColumns count="5">
    <tableColumn id="1" xr3:uid="{058B45F7-561A-44D1-B2B5-3A32E5B9B38A}" name="Jogos" totalsRowLabel="Pontuação Total" dataDxfId="8">
      <calculatedColumnFormula>Bruno[[#This Row],[Jogos]]</calculatedColumnFormula>
    </tableColumn>
    <tableColumn id="2" xr3:uid="{3F7FB2C7-C241-44AB-BD52-34D952499DC8}" name="Placar Final" dataDxfId="7">
      <calculatedColumnFormula>Bruno[[#This Row],[Placar Final]]</calculatedColumnFormula>
    </tableColumn>
    <tableColumn id="7" xr3:uid="{B95D9D7E-0C40-4A23-BDD6-A3DF8D711616}" name="Palpites"/>
    <tableColumn id="8" xr3:uid="{E72B1DD3-CA7C-4977-B134-B290B11AE3D1}" name="Pontuação" totalsRowFunction="sum"/>
    <tableColumn id="9" xr3:uid="{88CC5557-389F-4A4B-AFA2-170C0C0B501B}" name="Detalhamento da Pontuação" dataDxfId="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27FC1-34CC-42E0-ACD0-D43C7665893E}" name="Douglas" displayName="Douglas" ref="A1:E31" totalsRowCount="1">
  <autoFilter ref="A1:E30" xr:uid="{EA786FA1-AC7A-411B-AA92-99992422E6A0}"/>
  <tableColumns count="5">
    <tableColumn id="1" xr3:uid="{36A94A93-467B-45F2-8D9F-62F1238767C5}" name="Jogos" totalsRowLabel="Pontuação Total" dataDxfId="5">
      <calculatedColumnFormula>Bruno[[#This Row],[Jogos]]</calculatedColumnFormula>
    </tableColumn>
    <tableColumn id="2" xr3:uid="{2CD111D4-A36D-4A28-83C8-E823A8E88E68}" name="Placar Final" dataDxfId="4">
      <calculatedColumnFormula>Bruno[[#This Row],[Placar Final]]</calculatedColumnFormula>
    </tableColumn>
    <tableColumn id="10" xr3:uid="{B065E949-2D22-4BA5-8440-76938E6451D1}" name="Palpites"/>
    <tableColumn id="11" xr3:uid="{7488D55C-ED90-4E91-8BC5-919CA2474D14}" name="Pontuação" totalsRowFunction="sum"/>
    <tableColumn id="12" xr3:uid="{9A8239CB-A969-4B85-9880-37428C3778B3}" name="Detalhamento da Pontuação" dataDxfId="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D59292-5B6E-43A1-89EC-D622E650A732}" name="Gabriel" displayName="Gabriel" ref="A1:E31" totalsRowCount="1">
  <autoFilter ref="A1:E30" xr:uid="{EA786FA1-AC7A-411B-AA92-99992422E6A0}"/>
  <tableColumns count="5">
    <tableColumn id="1" xr3:uid="{BB8600F3-C3B0-480D-957C-847F645EACD5}" name="Jogos" totalsRowLabel="Pontuação Total" dataDxfId="2">
      <calculatedColumnFormula>Bruno[[#This Row],[Jogos]]</calculatedColumnFormula>
    </tableColumn>
    <tableColumn id="2" xr3:uid="{0EBADCC4-C56E-4F68-AC85-CCA4B5FE2AA5}" name="Placar Final" dataDxfId="1">
      <calculatedColumnFormula>Bruno[[#This Row],[Placar Final]]</calculatedColumnFormula>
    </tableColumn>
    <tableColumn id="13" xr3:uid="{635008A9-70F0-45C9-9E8F-2B6EDF0E677A}" name="Palpites"/>
    <tableColumn id="14" xr3:uid="{529292F2-CDB9-4207-8EBB-255822B4B6CA}" name="Pontuação" totalsRowFunction="sum"/>
    <tableColumn id="15" xr3:uid="{B6AC962F-7D71-4786-AAB6-BF0CD0CF5CC2}" name="Detalhamento da Pontuaçã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4306-76C2-4B1D-9DC9-5B50BD0AB05F}">
  <dimension ref="A1:C10"/>
  <sheetViews>
    <sheetView tabSelected="1" workbookViewId="0">
      <selection activeCell="A13" sqref="A13"/>
    </sheetView>
  </sheetViews>
  <sheetFormatPr defaultColWidth="9.1640625" defaultRowHeight="18" x14ac:dyDescent="0.25"/>
  <cols>
    <col min="1" max="1" width="14.33203125" style="3" bestFit="1" customWidth="1"/>
    <col min="2" max="2" width="23.33203125" style="3" bestFit="1" customWidth="1"/>
    <col min="3" max="3" width="30.5" style="3" bestFit="1" customWidth="1"/>
    <col min="4" max="16384" width="9.1640625" style="3"/>
  </cols>
  <sheetData>
    <row r="1" spans="1:3" x14ac:dyDescent="0.25">
      <c r="A1" s="4" t="s">
        <v>12</v>
      </c>
      <c r="B1" s="3" t="s">
        <v>7</v>
      </c>
      <c r="C1" s="3" t="s">
        <v>2</v>
      </c>
    </row>
    <row r="2" spans="1:3" x14ac:dyDescent="0.25">
      <c r="A2" s="5" t="s">
        <v>13</v>
      </c>
      <c r="B2" s="3" t="s">
        <v>9</v>
      </c>
      <c r="C2" s="3">
        <f>Davi[[#Totals],[Pontuação]]</f>
        <v>81</v>
      </c>
    </row>
    <row r="3" spans="1:3" x14ac:dyDescent="0.25">
      <c r="A3" s="6" t="s">
        <v>14</v>
      </c>
      <c r="B3" s="3" t="s">
        <v>10</v>
      </c>
      <c r="C3" s="3">
        <f>Douglas[[#Totals],[Pontuação]]</f>
        <v>65</v>
      </c>
    </row>
    <row r="4" spans="1:3" x14ac:dyDescent="0.25">
      <c r="A4" s="5" t="s">
        <v>15</v>
      </c>
      <c r="B4" s="3" t="s">
        <v>11</v>
      </c>
      <c r="C4" s="3">
        <f>Gabriel[[#Totals],[Pontuação]]</f>
        <v>62</v>
      </c>
    </row>
    <row r="5" spans="1:3" x14ac:dyDescent="0.25">
      <c r="A5" s="6" t="s">
        <v>16</v>
      </c>
      <c r="B5" s="3" t="s">
        <v>8</v>
      </c>
      <c r="C5" s="3">
        <f>Bruno[[#Totals],[Pontuação]]</f>
        <v>12</v>
      </c>
    </row>
    <row r="9" spans="1:3" x14ac:dyDescent="0.25">
      <c r="A9" s="12" t="s">
        <v>17</v>
      </c>
      <c r="B9" s="12"/>
      <c r="C9" s="8">
        <v>46273</v>
      </c>
    </row>
    <row r="10" spans="1:3" x14ac:dyDescent="0.25">
      <c r="A10" s="12"/>
      <c r="B10" s="12"/>
      <c r="C10" s="7" t="s">
        <v>159</v>
      </c>
    </row>
  </sheetData>
  <mergeCells count="1">
    <mergeCell ref="A9:B10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1841-039A-4C51-AF05-A922A9D7DC21}">
  <dimension ref="A1:E31"/>
  <sheetViews>
    <sheetView workbookViewId="0">
      <pane ySplit="1" topLeftCell="A11" activePane="bottomLeft" state="frozen"/>
      <selection pane="bottomLeft" activeCell="A33" sqref="A33"/>
    </sheetView>
  </sheetViews>
  <sheetFormatPr defaultColWidth="12.33203125" defaultRowHeight="13.5" x14ac:dyDescent="0.3"/>
  <cols>
    <col min="1" max="1" width="27.33203125" bestFit="1" customWidth="1"/>
    <col min="2" max="2" width="78.33203125" bestFit="1" customWidth="1"/>
    <col min="3" max="3" width="39" bestFit="1" customWidth="1"/>
    <col min="4" max="4" width="13.83203125" bestFit="1" customWidth="1"/>
    <col min="5" max="5" width="49.33203125" bestFit="1" customWidth="1"/>
  </cols>
  <sheetData>
    <row r="1" spans="1:5" x14ac:dyDescent="0.3">
      <c r="A1" s="2" t="s">
        <v>3</v>
      </c>
      <c r="B1" s="1" t="s">
        <v>0</v>
      </c>
      <c r="C1" t="s">
        <v>6</v>
      </c>
      <c r="D1" t="s">
        <v>4</v>
      </c>
      <c r="E1" t="s">
        <v>5</v>
      </c>
    </row>
    <row r="2" spans="1:5" x14ac:dyDescent="0.3">
      <c r="A2" t="s">
        <v>18</v>
      </c>
      <c r="B2" t="s">
        <v>37</v>
      </c>
      <c r="C2" t="s">
        <v>1</v>
      </c>
      <c r="D2">
        <v>0</v>
      </c>
      <c r="E2" t="s">
        <v>1</v>
      </c>
    </row>
    <row r="3" spans="1:5" x14ac:dyDescent="0.3">
      <c r="A3" t="s">
        <v>19</v>
      </c>
      <c r="B3" t="s">
        <v>37</v>
      </c>
      <c r="C3" t="s">
        <v>1</v>
      </c>
      <c r="D3">
        <v>0</v>
      </c>
      <c r="E3" t="s">
        <v>1</v>
      </c>
    </row>
    <row r="4" spans="1:5" x14ac:dyDescent="0.3">
      <c r="A4" t="s">
        <v>20</v>
      </c>
      <c r="B4" t="s">
        <v>37</v>
      </c>
      <c r="C4" t="s">
        <v>1</v>
      </c>
      <c r="D4">
        <v>0</v>
      </c>
      <c r="E4" t="s">
        <v>1</v>
      </c>
    </row>
    <row r="5" spans="1:5" x14ac:dyDescent="0.3">
      <c r="A5" t="s">
        <v>21</v>
      </c>
      <c r="B5" t="s">
        <v>45</v>
      </c>
      <c r="C5" t="s">
        <v>1</v>
      </c>
      <c r="D5">
        <v>0</v>
      </c>
      <c r="E5" t="s">
        <v>1</v>
      </c>
    </row>
    <row r="6" spans="1:5" x14ac:dyDescent="0.3">
      <c r="A6" t="s">
        <v>22</v>
      </c>
      <c r="B6" t="s">
        <v>58</v>
      </c>
      <c r="C6" t="s">
        <v>1</v>
      </c>
      <c r="D6">
        <v>0</v>
      </c>
      <c r="E6" t="s">
        <v>1</v>
      </c>
    </row>
    <row r="7" spans="1:5" x14ac:dyDescent="0.3">
      <c r="A7" t="s">
        <v>23</v>
      </c>
      <c r="B7" t="s">
        <v>37</v>
      </c>
      <c r="C7" t="s">
        <v>1</v>
      </c>
      <c r="D7">
        <v>0</v>
      </c>
      <c r="E7" t="s">
        <v>1</v>
      </c>
    </row>
    <row r="8" spans="1:5" x14ac:dyDescent="0.3">
      <c r="A8" t="s">
        <v>24</v>
      </c>
      <c r="B8" t="s">
        <v>60</v>
      </c>
      <c r="C8" t="s">
        <v>1</v>
      </c>
      <c r="D8">
        <v>0</v>
      </c>
      <c r="E8" t="s">
        <v>1</v>
      </c>
    </row>
    <row r="9" spans="1:5" x14ac:dyDescent="0.3">
      <c r="A9" t="s">
        <v>25</v>
      </c>
      <c r="B9" t="s">
        <v>65</v>
      </c>
      <c r="C9" t="s">
        <v>1</v>
      </c>
      <c r="D9">
        <v>0</v>
      </c>
      <c r="E9" t="s">
        <v>1</v>
      </c>
    </row>
    <row r="10" spans="1:5" x14ac:dyDescent="0.3">
      <c r="A10" t="s">
        <v>32</v>
      </c>
      <c r="B10" t="s">
        <v>67</v>
      </c>
      <c r="C10" t="s">
        <v>1</v>
      </c>
      <c r="D10">
        <v>0</v>
      </c>
      <c r="E10" t="s">
        <v>1</v>
      </c>
    </row>
    <row r="11" spans="1:5" x14ac:dyDescent="0.3">
      <c r="A11" t="s">
        <v>31</v>
      </c>
      <c r="B11" t="s">
        <v>74</v>
      </c>
      <c r="C11" t="s">
        <v>1</v>
      </c>
      <c r="D11">
        <v>0</v>
      </c>
      <c r="E11" t="s">
        <v>1</v>
      </c>
    </row>
    <row r="12" spans="1:5" x14ac:dyDescent="0.3">
      <c r="A12" t="s">
        <v>28</v>
      </c>
      <c r="B12" t="s">
        <v>80</v>
      </c>
      <c r="C12" t="s">
        <v>1</v>
      </c>
      <c r="D12">
        <v>0</v>
      </c>
      <c r="E12" t="s">
        <v>1</v>
      </c>
    </row>
    <row r="13" spans="1:5" x14ac:dyDescent="0.3">
      <c r="A13" t="s">
        <v>29</v>
      </c>
      <c r="B13" t="s">
        <v>82</v>
      </c>
      <c r="C13" t="s">
        <v>1</v>
      </c>
      <c r="D13">
        <v>0</v>
      </c>
      <c r="E13" t="s">
        <v>1</v>
      </c>
    </row>
    <row r="14" spans="1:5" x14ac:dyDescent="0.3">
      <c r="A14" t="s">
        <v>33</v>
      </c>
      <c r="B14" t="s">
        <v>88</v>
      </c>
      <c r="C14" t="s">
        <v>85</v>
      </c>
      <c r="D14">
        <v>1</v>
      </c>
      <c r="E14" t="s">
        <v>39</v>
      </c>
    </row>
    <row r="15" spans="1:5" x14ac:dyDescent="0.3">
      <c r="A15" t="s">
        <v>30</v>
      </c>
      <c r="B15" t="s">
        <v>89</v>
      </c>
      <c r="C15" t="s">
        <v>84</v>
      </c>
      <c r="D15">
        <v>2</v>
      </c>
      <c r="E15" t="s">
        <v>90</v>
      </c>
    </row>
    <row r="16" spans="1:5" x14ac:dyDescent="0.3">
      <c r="A16" t="s">
        <v>26</v>
      </c>
      <c r="B16" t="s">
        <v>104</v>
      </c>
      <c r="C16" t="s">
        <v>101</v>
      </c>
      <c r="D16">
        <v>0</v>
      </c>
      <c r="E16" t="s">
        <v>1</v>
      </c>
    </row>
    <row r="17" spans="1:5" x14ac:dyDescent="0.3">
      <c r="A17" t="s">
        <v>27</v>
      </c>
      <c r="B17" t="s">
        <v>103</v>
      </c>
      <c r="C17" t="s">
        <v>102</v>
      </c>
      <c r="D17">
        <v>2</v>
      </c>
      <c r="E17" t="s">
        <v>105</v>
      </c>
    </row>
    <row r="18" spans="1:5" x14ac:dyDescent="0.3">
      <c r="A18" t="s">
        <v>122</v>
      </c>
      <c r="B18" t="s">
        <v>110</v>
      </c>
      <c r="C18" t="s">
        <v>1</v>
      </c>
      <c r="D18">
        <v>0</v>
      </c>
      <c r="E18" t="s">
        <v>1</v>
      </c>
    </row>
    <row r="19" spans="1:5" x14ac:dyDescent="0.3">
      <c r="A19" t="s">
        <v>114</v>
      </c>
      <c r="B19" t="s">
        <v>123</v>
      </c>
      <c r="C19" t="s">
        <v>1</v>
      </c>
      <c r="D19">
        <v>0</v>
      </c>
      <c r="E19" t="s">
        <v>1</v>
      </c>
    </row>
    <row r="20" spans="1:5" x14ac:dyDescent="0.3">
      <c r="A20" t="s">
        <v>115</v>
      </c>
      <c r="B20" t="s">
        <v>134</v>
      </c>
      <c r="C20" t="s">
        <v>132</v>
      </c>
      <c r="D20">
        <v>4</v>
      </c>
      <c r="E20" t="s">
        <v>136</v>
      </c>
    </row>
    <row r="21" spans="1:5" x14ac:dyDescent="0.3">
      <c r="A21" t="s">
        <v>116</v>
      </c>
      <c r="B21" t="s">
        <v>135</v>
      </c>
      <c r="C21" t="s">
        <v>133</v>
      </c>
      <c r="D21">
        <v>3</v>
      </c>
      <c r="E21" t="s">
        <v>83</v>
      </c>
    </row>
    <row r="22" spans="1:5" x14ac:dyDescent="0.3">
      <c r="A22" t="s">
        <v>117</v>
      </c>
      <c r="B22" t="s">
        <v>37</v>
      </c>
      <c r="C22" t="s">
        <v>1</v>
      </c>
      <c r="D22">
        <v>0</v>
      </c>
      <c r="E22" t="s">
        <v>1</v>
      </c>
    </row>
    <row r="23" spans="1:5" x14ac:dyDescent="0.3">
      <c r="A23" t="s">
        <v>118</v>
      </c>
      <c r="B23" t="s">
        <v>139</v>
      </c>
      <c r="C23" t="s">
        <v>1</v>
      </c>
      <c r="D23">
        <v>0</v>
      </c>
      <c r="E23" t="s">
        <v>1</v>
      </c>
    </row>
    <row r="24" spans="1:5" x14ac:dyDescent="0.3">
      <c r="A24" t="s">
        <v>119</v>
      </c>
      <c r="B24" t="s">
        <v>37</v>
      </c>
      <c r="C24" t="s">
        <v>1</v>
      </c>
      <c r="D24">
        <v>0</v>
      </c>
      <c r="E24" t="s">
        <v>1</v>
      </c>
    </row>
    <row r="25" spans="1:5" x14ac:dyDescent="0.3">
      <c r="A25" t="s">
        <v>120</v>
      </c>
      <c r="B25" t="s">
        <v>148</v>
      </c>
      <c r="C25" t="s">
        <v>1</v>
      </c>
      <c r="D25">
        <v>0</v>
      </c>
      <c r="E25" t="s">
        <v>1</v>
      </c>
    </row>
    <row r="26" spans="1:5" x14ac:dyDescent="0.3">
      <c r="A26" t="s">
        <v>121</v>
      </c>
      <c r="B26" t="s">
        <v>151</v>
      </c>
      <c r="C26" t="s">
        <v>1</v>
      </c>
      <c r="D26">
        <v>0</v>
      </c>
      <c r="E26" t="s">
        <v>1</v>
      </c>
    </row>
    <row r="27" spans="1:5" x14ac:dyDescent="0.3">
      <c r="A27" t="s">
        <v>153</v>
      </c>
      <c r="B27" s="11" t="s">
        <v>157</v>
      </c>
      <c r="C27" t="s">
        <v>1</v>
      </c>
      <c r="D27">
        <v>0</v>
      </c>
      <c r="E27" t="s">
        <v>1</v>
      </c>
    </row>
    <row r="28" spans="1:5" x14ac:dyDescent="0.3">
      <c r="A28" t="s">
        <v>154</v>
      </c>
      <c r="B28" t="s">
        <v>157</v>
      </c>
      <c r="C28" t="s">
        <v>1</v>
      </c>
      <c r="D28">
        <v>0</v>
      </c>
      <c r="E28" t="s">
        <v>1</v>
      </c>
    </row>
    <row r="29" spans="1:5" x14ac:dyDescent="0.3">
      <c r="A29" t="s">
        <v>155</v>
      </c>
      <c r="B29" t="s">
        <v>158</v>
      </c>
      <c r="C29" t="s">
        <v>1</v>
      </c>
      <c r="D29">
        <v>0</v>
      </c>
      <c r="E29" t="s">
        <v>1</v>
      </c>
    </row>
    <row r="30" spans="1:5" x14ac:dyDescent="0.3">
      <c r="A30" t="s">
        <v>156</v>
      </c>
      <c r="B30" t="s">
        <v>158</v>
      </c>
      <c r="C30" t="s">
        <v>1</v>
      </c>
      <c r="D30">
        <v>0</v>
      </c>
      <c r="E30" t="s">
        <v>1</v>
      </c>
    </row>
    <row r="31" spans="1:5" x14ac:dyDescent="0.3">
      <c r="A31" t="s">
        <v>2</v>
      </c>
      <c r="D31">
        <f>SUBTOTAL(109,Bruno[Pontuação])</f>
        <v>12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3569-B33B-4725-B50F-0559FA6747EC}">
  <dimension ref="A1:E31"/>
  <sheetViews>
    <sheetView workbookViewId="0">
      <pane ySplit="1" topLeftCell="A11" activePane="bottomLeft" state="frozen"/>
      <selection activeCell="B1" sqref="B1"/>
      <selection pane="bottomLeft" activeCell="A33" sqref="A33"/>
    </sheetView>
  </sheetViews>
  <sheetFormatPr defaultColWidth="11" defaultRowHeight="13.5" x14ac:dyDescent="0.3"/>
  <cols>
    <col min="1" max="1" width="27.33203125" bestFit="1" customWidth="1"/>
    <col min="2" max="3" width="78.33203125" bestFit="1" customWidth="1"/>
    <col min="4" max="4" width="13.83203125" bestFit="1" customWidth="1"/>
    <col min="5" max="5" width="59.33203125" bestFit="1" customWidth="1"/>
  </cols>
  <sheetData>
    <row r="1" spans="1:5" x14ac:dyDescent="0.3">
      <c r="A1" s="2" t="s">
        <v>3</v>
      </c>
      <c r="B1" s="1" t="s">
        <v>0</v>
      </c>
      <c r="C1" t="s">
        <v>6</v>
      </c>
      <c r="D1" t="s">
        <v>4</v>
      </c>
      <c r="E1" t="s">
        <v>5</v>
      </c>
    </row>
    <row r="2" spans="1:5" x14ac:dyDescent="0.3">
      <c r="A2" t="str">
        <f>Bruno[[#This Row],[Jogos]]</f>
        <v>Vasco x Fluminense</v>
      </c>
      <c r="B2" t="str">
        <f>Bruno[[#This Row],[Placar Final]]</f>
        <v>0x0</v>
      </c>
      <c r="C2" t="s">
        <v>35</v>
      </c>
      <c r="D2">
        <v>2</v>
      </c>
      <c r="E2" t="s">
        <v>38</v>
      </c>
    </row>
    <row r="3" spans="1:5" x14ac:dyDescent="0.3">
      <c r="A3" t="str">
        <f>Bruno[[#This Row],[Jogos]]</f>
        <v>Atlético-MG x Juventude</v>
      </c>
      <c r="B3" t="str">
        <f>Bruno[[#This Row],[Placar Final]]</f>
        <v>0x0</v>
      </c>
      <c r="C3" t="s">
        <v>43</v>
      </c>
      <c r="D3">
        <v>1</v>
      </c>
      <c r="E3" t="s">
        <v>39</v>
      </c>
    </row>
    <row r="4" spans="1:5" x14ac:dyDescent="0.3">
      <c r="A4" t="str">
        <f>Bruno[[#This Row],[Jogos]]</f>
        <v>Santos x Remo</v>
      </c>
      <c r="B4" t="str">
        <f>Bruno[[#This Row],[Placar Final]]</f>
        <v>0x0</v>
      </c>
      <c r="C4" t="s">
        <v>44</v>
      </c>
      <c r="D4">
        <v>0</v>
      </c>
      <c r="E4" t="s">
        <v>1</v>
      </c>
    </row>
    <row r="5" spans="1:5" x14ac:dyDescent="0.3">
      <c r="A5" t="str">
        <f>Bruno[[#This Row],[Jogos]]</f>
        <v>Palmeiras x Fortaleza</v>
      </c>
      <c r="B5" t="str">
        <f>Bruno[[#This Row],[Placar Final]]</f>
        <v>3x0 (Maurício, Jhon Arias e Flaco López)</v>
      </c>
      <c r="C5" t="s">
        <v>46</v>
      </c>
      <c r="D5">
        <v>5</v>
      </c>
      <c r="E5" t="s">
        <v>47</v>
      </c>
    </row>
    <row r="6" spans="1:5" x14ac:dyDescent="0.3">
      <c r="A6" t="str">
        <f>Bruno[[#This Row],[Jogos]]</f>
        <v>Mirassol x Grêmio</v>
      </c>
      <c r="B6" t="str">
        <f>Bruno[[#This Row],[Placar Final]]</f>
        <v>1x1 (Bruno Santos; Amuzu)</v>
      </c>
      <c r="C6" s="9" t="s">
        <v>48</v>
      </c>
      <c r="D6">
        <v>8</v>
      </c>
      <c r="E6" t="s">
        <v>59</v>
      </c>
    </row>
    <row r="7" spans="1:5" x14ac:dyDescent="0.3">
      <c r="A7" t="str">
        <f>Bruno[[#This Row],[Jogos]]</f>
        <v>Chapecoense x Cruzeiro</v>
      </c>
      <c r="B7" t="str">
        <f>Bruno[[#This Row],[Placar Final]]</f>
        <v>0x0</v>
      </c>
      <c r="C7" t="s">
        <v>55</v>
      </c>
      <c r="D7">
        <v>0</v>
      </c>
      <c r="E7" t="s">
        <v>1</v>
      </c>
    </row>
    <row r="8" spans="1:5" x14ac:dyDescent="0.3">
      <c r="A8" t="str">
        <f>Bruno[[#This Row],[Jogos]]</f>
        <v>Internacional x Corinthians</v>
      </c>
      <c r="B8" t="str">
        <f>Bruno[[#This Row],[Placar Final]]</f>
        <v>2x0 (Matheus Bahia e Alan Patrick)</v>
      </c>
      <c r="C8" t="s">
        <v>56</v>
      </c>
      <c r="D8">
        <v>0</v>
      </c>
      <c r="E8" t="s">
        <v>1</v>
      </c>
    </row>
    <row r="9" spans="1:5" x14ac:dyDescent="0.3">
      <c r="A9" t="str">
        <f>Bruno[[#This Row],[Jogos]]</f>
        <v>Athletico x Vitória</v>
      </c>
      <c r="B9" t="str">
        <f>Bruno[[#This Row],[Placar Final]]</f>
        <v>2x0 (João Cruz e Dudu)</v>
      </c>
      <c r="C9" s="9" t="s">
        <v>64</v>
      </c>
      <c r="D9">
        <v>8</v>
      </c>
      <c r="E9" t="s">
        <v>59</v>
      </c>
    </row>
    <row r="10" spans="1:5" x14ac:dyDescent="0.3">
      <c r="A10" t="str">
        <f>Bruno[[#This Row],[Jogos]]</f>
        <v>Juventude x Atlético-MG</v>
      </c>
      <c r="B10" t="str">
        <f>Bruno[[#This Row],[Placar Final]]</f>
        <v>0x1 (Alan Minda)</v>
      </c>
      <c r="C10" t="s">
        <v>68</v>
      </c>
      <c r="D10">
        <v>3</v>
      </c>
      <c r="E10" t="s">
        <v>66</v>
      </c>
    </row>
    <row r="11" spans="1:5" x14ac:dyDescent="0.3">
      <c r="A11" t="str">
        <f>Bruno[[#This Row],[Jogos]]</f>
        <v>Remo x Santos</v>
      </c>
      <c r="B11" t="str">
        <f>Bruno[[#This Row],[Placar Final]]</f>
        <v>0x1 (Rony)</v>
      </c>
      <c r="C11" t="s">
        <v>73</v>
      </c>
      <c r="D11">
        <v>1</v>
      </c>
      <c r="E11" t="s">
        <v>39</v>
      </c>
    </row>
    <row r="12" spans="1:5" x14ac:dyDescent="0.3">
      <c r="A12" t="str">
        <f>Bruno[[#This Row],[Jogos]]</f>
        <v>Cruzeiro x Chapecoense</v>
      </c>
      <c r="B12" t="str">
        <f>Bruno[[#This Row],[Placar Final]]</f>
        <v>2x0 (Matheus Henrique e Kaio Jorge)</v>
      </c>
      <c r="C12" s="9" t="s">
        <v>75</v>
      </c>
      <c r="D12">
        <v>9</v>
      </c>
      <c r="E12" t="s">
        <v>81</v>
      </c>
    </row>
    <row r="13" spans="1:5" x14ac:dyDescent="0.3">
      <c r="A13" t="str">
        <f>Bruno[[#This Row],[Jogos]]</f>
        <v>Grêmio x Mirassol</v>
      </c>
      <c r="B13" t="str">
        <f>Bruno[[#This Row],[Placar Final]]</f>
        <v>1x0 (Pavón)</v>
      </c>
      <c r="C13" s="9" t="s">
        <v>76</v>
      </c>
      <c r="D13">
        <v>8</v>
      </c>
      <c r="E13" t="s">
        <v>59</v>
      </c>
    </row>
    <row r="14" spans="1:5" x14ac:dyDescent="0.3">
      <c r="A14" t="str">
        <f>Bruno[[#This Row],[Jogos]]</f>
        <v>Fluminense x Vasco</v>
      </c>
      <c r="B14" t="str">
        <f>Bruno[[#This Row],[Placar Final]]</f>
        <v>1x3 (Martinelli; Brenner 2x e Puma Rodriguez)</v>
      </c>
      <c r="C14" t="s">
        <v>86</v>
      </c>
      <c r="D14">
        <v>2</v>
      </c>
      <c r="E14" t="s">
        <v>91</v>
      </c>
    </row>
    <row r="15" spans="1:5" x14ac:dyDescent="0.3">
      <c r="A15" t="str">
        <f>Bruno[[#This Row],[Jogos]]</f>
        <v>Fortaleza x Palmeiras</v>
      </c>
      <c r="B15" t="str">
        <f>Bruno[[#This Row],[Placar Final]]</f>
        <v>3x2 (Miritello, Rodriguinho e Lucas Emanoel; Flaco López e Murilo)</v>
      </c>
      <c r="C15" t="s">
        <v>84</v>
      </c>
      <c r="D15">
        <v>3</v>
      </c>
      <c r="E15" t="s">
        <v>92</v>
      </c>
    </row>
    <row r="16" spans="1:5" x14ac:dyDescent="0.3">
      <c r="A16" t="str">
        <f>Bruno[[#This Row],[Jogos]]</f>
        <v>Vitória x Athletico</v>
      </c>
      <c r="B16" t="str">
        <f>Bruno[[#This Row],[Placar Final]]</f>
        <v>4x0 (Renê 2x, Erick e Marinho)</v>
      </c>
      <c r="C16" t="s">
        <v>100</v>
      </c>
      <c r="D16">
        <v>0</v>
      </c>
      <c r="E16" t="s">
        <v>1</v>
      </c>
    </row>
    <row r="17" spans="1:5" x14ac:dyDescent="0.3">
      <c r="A17" t="str">
        <f>Bruno[[#This Row],[Jogos]]</f>
        <v>Corinthians x Internacional</v>
      </c>
      <c r="B17" t="str">
        <f>Bruno[[#This Row],[Placar Final]]</f>
        <v>2x1 (Gustavo Henrique e Pedro Raul; Bernabei)</v>
      </c>
      <c r="C17" t="s">
        <v>99</v>
      </c>
      <c r="D17">
        <v>6</v>
      </c>
      <c r="E17" t="s">
        <v>106</v>
      </c>
    </row>
    <row r="18" spans="1:5" x14ac:dyDescent="0.3">
      <c r="A18" t="str">
        <f>Bruno[[#This Row],[Jogos]]</f>
        <v>Sorteio das Quartas de Final</v>
      </c>
      <c r="B18" t="str">
        <f>Bruno[[#This Row],[Placar Final]]</f>
        <v>Grêmio x Internacional; Cruzeiro x Atlético-MG; Vasco x Vitória; Palmeiras x Santos</v>
      </c>
      <c r="C18" t="s">
        <v>112</v>
      </c>
      <c r="D18">
        <v>0</v>
      </c>
      <c r="E18" t="s">
        <v>1</v>
      </c>
    </row>
    <row r="19" spans="1:5" x14ac:dyDescent="0.3">
      <c r="A19" t="str">
        <f>Bruno[[#This Row],[Jogos]]</f>
        <v>Cruzeiro x Atlético-MG</v>
      </c>
      <c r="B19" t="str">
        <f>Bruno[[#This Row],[Placar Final]]</f>
        <v>1x1 (Arroyo; Renan Lodi)</v>
      </c>
      <c r="C19" t="s">
        <v>124</v>
      </c>
      <c r="D19">
        <v>1</v>
      </c>
      <c r="E19" t="s">
        <v>39</v>
      </c>
    </row>
    <row r="20" spans="1:5" x14ac:dyDescent="0.3">
      <c r="A20" t="str">
        <f>Bruno[[#This Row],[Jogos]]</f>
        <v>Palmeiras x Santos</v>
      </c>
      <c r="B20" t="str">
        <f>Bruno[[#This Row],[Placar Final]]</f>
        <v>3x0 (Flaco Lopez 2x e Andreas Pereira)</v>
      </c>
      <c r="C20" t="s">
        <v>130</v>
      </c>
      <c r="D20">
        <v>4</v>
      </c>
      <c r="E20" t="s">
        <v>136</v>
      </c>
    </row>
    <row r="21" spans="1:5" x14ac:dyDescent="0.3">
      <c r="A21" t="str">
        <f>Bruno[[#This Row],[Jogos]]</f>
        <v>Vasco x Vitória</v>
      </c>
      <c r="B21" t="str">
        <f>Bruno[[#This Row],[Placar Final]]</f>
        <v>1x0 (Andrés Gómez)</v>
      </c>
      <c r="C21" t="s">
        <v>131</v>
      </c>
      <c r="D21">
        <v>1</v>
      </c>
      <c r="E21" t="s">
        <v>39</v>
      </c>
    </row>
    <row r="22" spans="1:5" x14ac:dyDescent="0.3">
      <c r="A22" t="str">
        <f>Bruno[[#This Row],[Jogos]]</f>
        <v>Internacional x Grêmio</v>
      </c>
      <c r="B22" t="str">
        <f>Bruno[[#This Row],[Placar Final]]</f>
        <v>0x0</v>
      </c>
      <c r="C22" s="9" t="s">
        <v>37</v>
      </c>
      <c r="D22">
        <v>8</v>
      </c>
      <c r="E22" t="s">
        <v>59</v>
      </c>
    </row>
    <row r="23" spans="1:5" x14ac:dyDescent="0.3">
      <c r="A23" t="str">
        <f>Bruno[[#This Row],[Jogos]]</f>
        <v>Atlético-MG x Cruzeiro</v>
      </c>
      <c r="B23" t="str">
        <f>Bruno[[#This Row],[Placar Final]]</f>
        <v>2x1 (Victor Hugo e Fred; Kaio Jorge)</v>
      </c>
      <c r="C23" s="9" t="s">
        <v>137</v>
      </c>
      <c r="D23">
        <v>8</v>
      </c>
      <c r="E23" t="s">
        <v>59</v>
      </c>
    </row>
    <row r="24" spans="1:5" x14ac:dyDescent="0.3">
      <c r="A24" t="str">
        <f>Bruno[[#This Row],[Jogos]]</f>
        <v>Santos x Palmeiras</v>
      </c>
      <c r="B24" t="str">
        <f>Bruno[[#This Row],[Placar Final]]</f>
        <v>0x0</v>
      </c>
      <c r="C24" t="s">
        <v>144</v>
      </c>
      <c r="D24">
        <v>2</v>
      </c>
      <c r="E24" t="s">
        <v>38</v>
      </c>
    </row>
    <row r="25" spans="1:5" x14ac:dyDescent="0.3">
      <c r="A25" t="str">
        <f>Bruno[[#This Row],[Jogos]]</f>
        <v>Vitória x Vasco</v>
      </c>
      <c r="B25" t="str">
        <f>Bruno[[#This Row],[Placar Final]]</f>
        <v>0x2 (Andrés Gómez e Puma Rodriguez)</v>
      </c>
      <c r="C25" t="s">
        <v>145</v>
      </c>
      <c r="D25">
        <v>0</v>
      </c>
      <c r="E25" t="s">
        <v>1</v>
      </c>
    </row>
    <row r="26" spans="1:5" x14ac:dyDescent="0.3">
      <c r="A26" t="str">
        <f>Bruno[[#This Row],[Jogos]]</f>
        <v>Grêmio x Internacional</v>
      </c>
      <c r="B26" t="str">
        <f>Bruno[[#This Row],[Placar Final]]</f>
        <v>3x1 (Carlos Vinicius 2x e Krovinović; Vitinho)</v>
      </c>
      <c r="C26" t="s">
        <v>149</v>
      </c>
      <c r="D26">
        <v>1</v>
      </c>
      <c r="E26" t="s">
        <v>39</v>
      </c>
    </row>
    <row r="27" spans="1:5" x14ac:dyDescent="0.3">
      <c r="A27" t="str">
        <f>Bruno[[#This Row],[Jogos]]</f>
        <v>Vasco x Palmeiras</v>
      </c>
      <c r="B27" t="str">
        <f>Bruno[[#This Row],[Placar Final]]</f>
        <v xml:space="preserve">01/11 - </v>
      </c>
      <c r="C27" t="s">
        <v>1</v>
      </c>
      <c r="D27">
        <v>0</v>
      </c>
      <c r="E27" t="s">
        <v>1</v>
      </c>
    </row>
    <row r="28" spans="1:5" x14ac:dyDescent="0.3">
      <c r="A28" t="str">
        <f>Bruno[[#This Row],[Jogos]]</f>
        <v>Grêmio x Atlético-MG</v>
      </c>
      <c r="B28" t="str">
        <f>Bruno[[#This Row],[Placar Final]]</f>
        <v xml:space="preserve">01/11 - </v>
      </c>
      <c r="C28" t="s">
        <v>1</v>
      </c>
      <c r="D28">
        <v>0</v>
      </c>
      <c r="E28" t="s">
        <v>1</v>
      </c>
    </row>
    <row r="29" spans="1:5" x14ac:dyDescent="0.3">
      <c r="A29" t="str">
        <f>Bruno[[#This Row],[Jogos]]</f>
        <v>Palmeiras x Vasco</v>
      </c>
      <c r="B29" t="str">
        <f>Bruno[[#This Row],[Placar Final]]</f>
        <v xml:space="preserve">08/11 - </v>
      </c>
      <c r="C29" t="s">
        <v>1</v>
      </c>
      <c r="D29">
        <v>0</v>
      </c>
      <c r="E29" t="s">
        <v>1</v>
      </c>
    </row>
    <row r="30" spans="1:5" x14ac:dyDescent="0.3">
      <c r="A30" t="str">
        <f>Bruno[[#This Row],[Jogos]]</f>
        <v>Atlético-MG x Grêmio</v>
      </c>
      <c r="B30" t="str">
        <f>Bruno[[#This Row],[Placar Final]]</f>
        <v xml:space="preserve">08/11 - </v>
      </c>
      <c r="C30" t="s">
        <v>1</v>
      </c>
      <c r="D30">
        <v>0</v>
      </c>
      <c r="E30" t="s">
        <v>1</v>
      </c>
    </row>
    <row r="31" spans="1:5" x14ac:dyDescent="0.3">
      <c r="A31" t="s">
        <v>2</v>
      </c>
      <c r="D31">
        <f>SUBTOTAL(109,Davi[Pontuação])</f>
        <v>81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3BD6-99B8-48E5-BEFB-D6420131C8CE}">
  <dimension ref="A1:E31"/>
  <sheetViews>
    <sheetView workbookViewId="0">
      <pane ySplit="1" topLeftCell="A11" activePane="bottomLeft" state="frozen"/>
      <selection pane="bottomLeft" activeCell="A33" sqref="A33"/>
    </sheetView>
  </sheetViews>
  <sheetFormatPr defaultColWidth="12.33203125" defaultRowHeight="13.5" x14ac:dyDescent="0.3"/>
  <cols>
    <col min="1" max="1" width="27.33203125" bestFit="1" customWidth="1"/>
    <col min="2" max="3" width="78.33203125" bestFit="1" customWidth="1"/>
    <col min="4" max="4" width="13.83203125" bestFit="1" customWidth="1"/>
    <col min="5" max="5" width="78.33203125" bestFit="1" customWidth="1"/>
  </cols>
  <sheetData>
    <row r="1" spans="1:5" x14ac:dyDescent="0.3">
      <c r="A1" s="2" t="s">
        <v>3</v>
      </c>
      <c r="B1" s="1" t="s">
        <v>0</v>
      </c>
      <c r="C1" t="s">
        <v>6</v>
      </c>
      <c r="D1" t="s">
        <v>4</v>
      </c>
      <c r="E1" t="s">
        <v>5</v>
      </c>
    </row>
    <row r="2" spans="1:5" x14ac:dyDescent="0.3">
      <c r="A2" t="str">
        <f>Bruno[[#This Row],[Jogos]]</f>
        <v>Vasco x Fluminense</v>
      </c>
      <c r="B2" t="str">
        <f>Bruno[[#This Row],[Placar Final]]</f>
        <v>0x0</v>
      </c>
      <c r="C2" t="s">
        <v>34</v>
      </c>
      <c r="D2">
        <v>0</v>
      </c>
      <c r="E2" t="s">
        <v>1</v>
      </c>
    </row>
    <row r="3" spans="1:5" x14ac:dyDescent="0.3">
      <c r="A3" t="str">
        <f>Bruno[[#This Row],[Jogos]]</f>
        <v>Atlético-MG x Juventude</v>
      </c>
      <c r="B3" t="str">
        <f>Bruno[[#This Row],[Placar Final]]</f>
        <v>0x0</v>
      </c>
      <c r="C3" t="s">
        <v>1</v>
      </c>
      <c r="D3">
        <v>0</v>
      </c>
      <c r="E3" t="s">
        <v>1</v>
      </c>
    </row>
    <row r="4" spans="1:5" x14ac:dyDescent="0.3">
      <c r="A4" t="str">
        <f>Bruno[[#This Row],[Jogos]]</f>
        <v>Santos x Remo</v>
      </c>
      <c r="B4" t="str">
        <f>Bruno[[#This Row],[Placar Final]]</f>
        <v>0x0</v>
      </c>
      <c r="C4" t="s">
        <v>42</v>
      </c>
      <c r="D4">
        <v>1</v>
      </c>
      <c r="E4" t="s">
        <v>39</v>
      </c>
    </row>
    <row r="5" spans="1:5" x14ac:dyDescent="0.3">
      <c r="A5" t="str">
        <f>Bruno[[#This Row],[Jogos]]</f>
        <v>Palmeiras x Fortaleza</v>
      </c>
      <c r="B5" t="str">
        <f>Bruno[[#This Row],[Placar Final]]</f>
        <v>3x0 (Maurício, Jhon Arias e Flaco López)</v>
      </c>
      <c r="C5" t="s">
        <v>51</v>
      </c>
      <c r="D5">
        <v>4</v>
      </c>
      <c r="E5" t="s">
        <v>52</v>
      </c>
    </row>
    <row r="6" spans="1:5" x14ac:dyDescent="0.3">
      <c r="A6" t="str">
        <f>Bruno[[#This Row],[Jogos]]</f>
        <v>Mirassol x Grêmio</v>
      </c>
      <c r="B6" t="str">
        <f>Bruno[[#This Row],[Placar Final]]</f>
        <v>1x1 (Bruno Santos; Amuzu)</v>
      </c>
      <c r="C6" t="s">
        <v>53</v>
      </c>
      <c r="D6">
        <v>1</v>
      </c>
      <c r="E6" t="s">
        <v>39</v>
      </c>
    </row>
    <row r="7" spans="1:5" x14ac:dyDescent="0.3">
      <c r="A7" t="str">
        <f>Bruno[[#This Row],[Jogos]]</f>
        <v>Chapecoense x Cruzeiro</v>
      </c>
      <c r="B7" t="str">
        <f>Bruno[[#This Row],[Placar Final]]</f>
        <v>0x0</v>
      </c>
      <c r="C7" t="s">
        <v>54</v>
      </c>
      <c r="D7">
        <v>0</v>
      </c>
      <c r="E7" t="s">
        <v>1</v>
      </c>
    </row>
    <row r="8" spans="1:5" x14ac:dyDescent="0.3">
      <c r="A8" t="str">
        <f>Bruno[[#This Row],[Jogos]]</f>
        <v>Internacional x Corinthians</v>
      </c>
      <c r="B8" t="str">
        <f>Bruno[[#This Row],[Placar Final]]</f>
        <v>2x0 (Matheus Bahia e Alan Patrick)</v>
      </c>
      <c r="C8" t="s">
        <v>57</v>
      </c>
      <c r="D8">
        <v>0</v>
      </c>
      <c r="E8" t="s">
        <v>1</v>
      </c>
    </row>
    <row r="9" spans="1:5" x14ac:dyDescent="0.3">
      <c r="A9" t="str">
        <f>Bruno[[#This Row],[Jogos]]</f>
        <v>Athletico x Vitória</v>
      </c>
      <c r="B9" t="str">
        <f>Bruno[[#This Row],[Placar Final]]</f>
        <v>2x0 (João Cruz e Dudu)</v>
      </c>
      <c r="C9" s="9" t="s">
        <v>62</v>
      </c>
      <c r="D9">
        <v>8</v>
      </c>
      <c r="E9" t="s">
        <v>59</v>
      </c>
    </row>
    <row r="10" spans="1:5" x14ac:dyDescent="0.3">
      <c r="A10" t="str">
        <f>Bruno[[#This Row],[Jogos]]</f>
        <v>Juventude x Atlético-MG</v>
      </c>
      <c r="B10" t="str">
        <f>Bruno[[#This Row],[Placar Final]]</f>
        <v>0x1 (Alan Minda)</v>
      </c>
      <c r="C10" t="s">
        <v>71</v>
      </c>
      <c r="D10">
        <v>1</v>
      </c>
      <c r="E10" t="s">
        <v>39</v>
      </c>
    </row>
    <row r="11" spans="1:5" x14ac:dyDescent="0.3">
      <c r="A11" t="str">
        <f>Bruno[[#This Row],[Jogos]]</f>
        <v>Remo x Santos</v>
      </c>
      <c r="B11" t="str">
        <f>Bruno[[#This Row],[Placar Final]]</f>
        <v>0x1 (Rony)</v>
      </c>
      <c r="C11" t="s">
        <v>72</v>
      </c>
      <c r="D11">
        <v>1</v>
      </c>
      <c r="E11" t="s">
        <v>39</v>
      </c>
    </row>
    <row r="12" spans="1:5" x14ac:dyDescent="0.3">
      <c r="A12" t="str">
        <f>Bruno[[#This Row],[Jogos]]</f>
        <v>Cruzeiro x Chapecoense</v>
      </c>
      <c r="B12" t="str">
        <f>Bruno[[#This Row],[Placar Final]]</f>
        <v>2x0 (Matheus Henrique e Kaio Jorge)</v>
      </c>
      <c r="C12" t="s">
        <v>78</v>
      </c>
      <c r="D12">
        <v>3</v>
      </c>
      <c r="E12" t="s">
        <v>66</v>
      </c>
    </row>
    <row r="13" spans="1:5" x14ac:dyDescent="0.3">
      <c r="A13" t="str">
        <f>Bruno[[#This Row],[Jogos]]</f>
        <v>Grêmio x Mirassol</v>
      </c>
      <c r="B13" t="str">
        <f>Bruno[[#This Row],[Placar Final]]</f>
        <v>1x0 (Pavón)</v>
      </c>
      <c r="C13" t="s">
        <v>79</v>
      </c>
      <c r="D13">
        <v>3</v>
      </c>
      <c r="E13" t="s">
        <v>83</v>
      </c>
    </row>
    <row r="14" spans="1:5" x14ac:dyDescent="0.3">
      <c r="A14" t="str">
        <f>Bruno[[#This Row],[Jogos]]</f>
        <v>Fluminense x Vasco</v>
      </c>
      <c r="B14" t="str">
        <f>Bruno[[#This Row],[Placar Final]]</f>
        <v>1x3 (Martinelli; Brenner 2x e Puma Rodriguez)</v>
      </c>
      <c r="C14" t="s">
        <v>93</v>
      </c>
      <c r="D14">
        <v>0</v>
      </c>
      <c r="E14" t="s">
        <v>1</v>
      </c>
    </row>
    <row r="15" spans="1:5" x14ac:dyDescent="0.3">
      <c r="A15" t="str">
        <f>Bruno[[#This Row],[Jogos]]</f>
        <v>Fortaleza x Palmeiras</v>
      </c>
      <c r="B15" t="str">
        <f>Bruno[[#This Row],[Placar Final]]</f>
        <v>3x2 (Miritello, Rodriguinho e Lucas Emanoel; Flaco López e Murilo)</v>
      </c>
      <c r="C15" t="s">
        <v>94</v>
      </c>
      <c r="D15">
        <v>2</v>
      </c>
      <c r="E15" t="s">
        <v>90</v>
      </c>
    </row>
    <row r="16" spans="1:5" x14ac:dyDescent="0.3">
      <c r="A16" t="str">
        <f>Bruno[[#This Row],[Jogos]]</f>
        <v>Vitória x Athletico</v>
      </c>
      <c r="B16" t="str">
        <f>Bruno[[#This Row],[Placar Final]]</f>
        <v>4x0 (Renê 2x, Erick e Marinho)</v>
      </c>
      <c r="C16" t="s">
        <v>97</v>
      </c>
      <c r="D16">
        <v>2</v>
      </c>
      <c r="E16" t="s">
        <v>109</v>
      </c>
    </row>
    <row r="17" spans="1:5" x14ac:dyDescent="0.3">
      <c r="A17" t="str">
        <f>Bruno[[#This Row],[Jogos]]</f>
        <v>Corinthians x Internacional</v>
      </c>
      <c r="B17" t="str">
        <f>Bruno[[#This Row],[Placar Final]]</f>
        <v>2x1 (Gustavo Henrique e Pedro Raul; Bernabei)</v>
      </c>
      <c r="C17" t="s">
        <v>98</v>
      </c>
      <c r="D17">
        <v>6</v>
      </c>
      <c r="E17" t="s">
        <v>107</v>
      </c>
    </row>
    <row r="18" spans="1:5" x14ac:dyDescent="0.3">
      <c r="A18" t="str">
        <f>Bruno[[#This Row],[Jogos]]</f>
        <v>Sorteio das Quartas de Final</v>
      </c>
      <c r="B18" t="str">
        <f>Bruno[[#This Row],[Placar Final]]</f>
        <v>Grêmio x Internacional; Cruzeiro x Atlético-MG; Vasco x Vitória; Palmeiras x Santos</v>
      </c>
      <c r="C18" t="s">
        <v>113</v>
      </c>
      <c r="D18">
        <v>4</v>
      </c>
      <c r="E18" t="str">
        <f>Bruno[[#This Row],[Placar Final]]</f>
        <v>Grêmio x Internacional; Cruzeiro x Atlético-MG; Vasco x Vitória; Palmeiras x Santos</v>
      </c>
    </row>
    <row r="19" spans="1:5" x14ac:dyDescent="0.3">
      <c r="A19" t="str">
        <f>Bruno[[#This Row],[Jogos]]</f>
        <v>Cruzeiro x Atlético-MG</v>
      </c>
      <c r="B19" t="str">
        <f>Bruno[[#This Row],[Placar Final]]</f>
        <v>1x1 (Arroyo; Renan Lodi)</v>
      </c>
      <c r="C19" s="9" t="s">
        <v>125</v>
      </c>
      <c r="D19">
        <v>8</v>
      </c>
      <c r="E19" t="s">
        <v>59</v>
      </c>
    </row>
    <row r="20" spans="1:5" x14ac:dyDescent="0.3">
      <c r="A20" t="str">
        <f>Bruno[[#This Row],[Jogos]]</f>
        <v>Palmeiras x Santos</v>
      </c>
      <c r="B20" t="str">
        <f>Bruno[[#This Row],[Placar Final]]</f>
        <v>3x0 (Flaco Lopez 2x e Andreas Pereira)</v>
      </c>
      <c r="C20" t="s">
        <v>126</v>
      </c>
      <c r="D20">
        <v>4</v>
      </c>
      <c r="E20" t="s">
        <v>136</v>
      </c>
    </row>
    <row r="21" spans="1:5" x14ac:dyDescent="0.3">
      <c r="A21" t="str">
        <f>Bruno[[#This Row],[Jogos]]</f>
        <v>Vasco x Vitória</v>
      </c>
      <c r="B21" t="str">
        <f>Bruno[[#This Row],[Placar Final]]</f>
        <v>1x0 (Andrés Gómez)</v>
      </c>
      <c r="C21" t="s">
        <v>127</v>
      </c>
      <c r="D21">
        <v>3</v>
      </c>
      <c r="E21" t="s">
        <v>83</v>
      </c>
    </row>
    <row r="22" spans="1:5" x14ac:dyDescent="0.3">
      <c r="A22" t="str">
        <f>Bruno[[#This Row],[Jogos]]</f>
        <v>Internacional x Grêmio</v>
      </c>
      <c r="B22" t="str">
        <f>Bruno[[#This Row],[Placar Final]]</f>
        <v>0x0</v>
      </c>
      <c r="C22" s="9" t="s">
        <v>37</v>
      </c>
      <c r="D22">
        <v>8</v>
      </c>
      <c r="E22" t="s">
        <v>59</v>
      </c>
    </row>
    <row r="23" spans="1:5" x14ac:dyDescent="0.3">
      <c r="A23" t="str">
        <f>Bruno[[#This Row],[Jogos]]</f>
        <v>Atlético-MG x Cruzeiro</v>
      </c>
      <c r="B23" t="str">
        <f>Bruno[[#This Row],[Placar Final]]</f>
        <v>2x1 (Victor Hugo e Fred; Kaio Jorge)</v>
      </c>
      <c r="C23" t="s">
        <v>138</v>
      </c>
      <c r="D23">
        <v>1</v>
      </c>
      <c r="E23" t="s">
        <v>140</v>
      </c>
    </row>
    <row r="24" spans="1:5" x14ac:dyDescent="0.3">
      <c r="A24" t="str">
        <f>Bruno[[#This Row],[Jogos]]</f>
        <v>Santos x Palmeiras</v>
      </c>
      <c r="B24" t="str">
        <f>Bruno[[#This Row],[Placar Final]]</f>
        <v>0x0</v>
      </c>
      <c r="C24" t="s">
        <v>147</v>
      </c>
      <c r="D24">
        <v>1</v>
      </c>
      <c r="E24" t="s">
        <v>39</v>
      </c>
    </row>
    <row r="25" spans="1:5" x14ac:dyDescent="0.3">
      <c r="A25" t="str">
        <f>Bruno[[#This Row],[Jogos]]</f>
        <v>Vitória x Vasco</v>
      </c>
      <c r="B25" t="str">
        <f>Bruno[[#This Row],[Placar Final]]</f>
        <v>0x2 (Andrés Gómez e Puma Rodriguez)</v>
      </c>
      <c r="C25" s="10" t="s">
        <v>146</v>
      </c>
      <c r="D25">
        <v>0</v>
      </c>
      <c r="E25" t="s">
        <v>1</v>
      </c>
    </row>
    <row r="26" spans="1:5" x14ac:dyDescent="0.3">
      <c r="A26" t="str">
        <f>Bruno[[#This Row],[Jogos]]</f>
        <v>Grêmio x Internacional</v>
      </c>
      <c r="B26" t="str">
        <f>Bruno[[#This Row],[Placar Final]]</f>
        <v>3x1 (Carlos Vinicius 2x e Krovinović; Vitinho)</v>
      </c>
      <c r="C26" t="s">
        <v>150</v>
      </c>
      <c r="D26">
        <v>4</v>
      </c>
      <c r="E26" t="s">
        <v>152</v>
      </c>
    </row>
    <row r="27" spans="1:5" x14ac:dyDescent="0.3">
      <c r="A27" t="str">
        <f>Bruno[[#This Row],[Jogos]]</f>
        <v>Vasco x Palmeiras</v>
      </c>
      <c r="B27" t="str">
        <f>Bruno[[#This Row],[Placar Final]]</f>
        <v xml:space="preserve">01/11 - </v>
      </c>
      <c r="C27" t="s">
        <v>1</v>
      </c>
      <c r="D27">
        <v>0</v>
      </c>
      <c r="E27" t="s">
        <v>1</v>
      </c>
    </row>
    <row r="28" spans="1:5" x14ac:dyDescent="0.3">
      <c r="A28" t="str">
        <f>Bruno[[#This Row],[Jogos]]</f>
        <v>Grêmio x Atlético-MG</v>
      </c>
      <c r="B28" t="str">
        <f>Bruno[[#This Row],[Placar Final]]</f>
        <v xml:space="preserve">01/11 - </v>
      </c>
      <c r="C28" t="s">
        <v>1</v>
      </c>
      <c r="D28">
        <v>0</v>
      </c>
      <c r="E28" t="s">
        <v>1</v>
      </c>
    </row>
    <row r="29" spans="1:5" x14ac:dyDescent="0.3">
      <c r="A29" t="str">
        <f>Bruno[[#This Row],[Jogos]]</f>
        <v>Palmeiras x Vasco</v>
      </c>
      <c r="B29" t="str">
        <f>Bruno[[#This Row],[Placar Final]]</f>
        <v xml:space="preserve">08/11 - </v>
      </c>
      <c r="C29" t="s">
        <v>1</v>
      </c>
      <c r="D29">
        <v>0</v>
      </c>
      <c r="E29" t="s">
        <v>1</v>
      </c>
    </row>
    <row r="30" spans="1:5" x14ac:dyDescent="0.3">
      <c r="A30" t="str">
        <f>Bruno[[#This Row],[Jogos]]</f>
        <v>Atlético-MG x Grêmio</v>
      </c>
      <c r="B30" t="str">
        <f>Bruno[[#This Row],[Placar Final]]</f>
        <v xml:space="preserve">08/11 - </v>
      </c>
      <c r="C30" t="s">
        <v>1</v>
      </c>
      <c r="D30">
        <v>0</v>
      </c>
      <c r="E30" t="s">
        <v>1</v>
      </c>
    </row>
    <row r="31" spans="1:5" x14ac:dyDescent="0.3">
      <c r="A31" t="s">
        <v>2</v>
      </c>
      <c r="D31">
        <f>SUBTOTAL(109,Douglas[Pontuação])</f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3A20-1995-4300-8654-F72460A851E9}">
  <dimension ref="A1:E31"/>
  <sheetViews>
    <sheetView workbookViewId="0">
      <pane ySplit="1" topLeftCell="A11" activePane="bottomLeft" state="frozen"/>
      <selection pane="bottomLeft" activeCell="A33" sqref="A33"/>
    </sheetView>
  </sheetViews>
  <sheetFormatPr defaultColWidth="15" defaultRowHeight="13.5" x14ac:dyDescent="0.3"/>
  <cols>
    <col min="1" max="1" width="27.33203125" bestFit="1" customWidth="1"/>
    <col min="2" max="3" width="78.33203125" bestFit="1" customWidth="1"/>
    <col min="4" max="4" width="13.83203125" bestFit="1" customWidth="1"/>
    <col min="5" max="5" width="52.33203125" bestFit="1" customWidth="1"/>
  </cols>
  <sheetData>
    <row r="1" spans="1:5" x14ac:dyDescent="0.3">
      <c r="A1" s="2" t="s">
        <v>3</v>
      </c>
      <c r="B1" s="1" t="s">
        <v>0</v>
      </c>
      <c r="C1" t="s">
        <v>6</v>
      </c>
      <c r="D1" t="s">
        <v>4</v>
      </c>
      <c r="E1" t="s">
        <v>5</v>
      </c>
    </row>
    <row r="2" spans="1:5" x14ac:dyDescent="0.3">
      <c r="A2" t="str">
        <f>Bruno[[#This Row],[Jogos]]</f>
        <v>Vasco x Fluminense</v>
      </c>
      <c r="B2" t="str">
        <f>Bruno[[#This Row],[Placar Final]]</f>
        <v>0x0</v>
      </c>
      <c r="C2" t="s">
        <v>36</v>
      </c>
      <c r="D2">
        <v>1</v>
      </c>
      <c r="E2" t="s">
        <v>39</v>
      </c>
    </row>
    <row r="3" spans="1:5" x14ac:dyDescent="0.3">
      <c r="A3" t="str">
        <f>Bruno[[#This Row],[Jogos]]</f>
        <v>Atlético-MG x Juventude</v>
      </c>
      <c r="B3" t="str">
        <f>Bruno[[#This Row],[Placar Final]]</f>
        <v>0x0</v>
      </c>
      <c r="C3" t="s">
        <v>40</v>
      </c>
      <c r="D3">
        <v>0</v>
      </c>
      <c r="E3" t="s">
        <v>1</v>
      </c>
    </row>
    <row r="4" spans="1:5" x14ac:dyDescent="0.3">
      <c r="A4" t="str">
        <f>Bruno[[#This Row],[Jogos]]</f>
        <v>Santos x Remo</v>
      </c>
      <c r="B4" t="str">
        <f>Bruno[[#This Row],[Placar Final]]</f>
        <v>0x0</v>
      </c>
      <c r="C4" t="s">
        <v>41</v>
      </c>
      <c r="D4">
        <v>1</v>
      </c>
      <c r="E4" t="s">
        <v>39</v>
      </c>
    </row>
    <row r="5" spans="1:5" x14ac:dyDescent="0.3">
      <c r="A5" t="str">
        <f>Bruno[[#This Row],[Jogos]]</f>
        <v>Palmeiras x Fortaleza</v>
      </c>
      <c r="B5" t="str">
        <f>Bruno[[#This Row],[Placar Final]]</f>
        <v>3x0 (Maurício, Jhon Arias e Flaco López)</v>
      </c>
      <c r="C5" t="s">
        <v>1</v>
      </c>
      <c r="D5">
        <v>0</v>
      </c>
      <c r="E5" t="s">
        <v>1</v>
      </c>
    </row>
    <row r="6" spans="1:5" x14ac:dyDescent="0.3">
      <c r="A6" t="str">
        <f>Bruno[[#This Row],[Jogos]]</f>
        <v>Mirassol x Grêmio</v>
      </c>
      <c r="B6" t="str">
        <f>Bruno[[#This Row],[Placar Final]]</f>
        <v>1x1 (Bruno Santos; Amuzu)</v>
      </c>
      <c r="C6" t="s">
        <v>37</v>
      </c>
      <c r="D6">
        <v>2</v>
      </c>
      <c r="E6" t="s">
        <v>38</v>
      </c>
    </row>
    <row r="7" spans="1:5" x14ac:dyDescent="0.3">
      <c r="A7" t="str">
        <f>Bruno[[#This Row],[Jogos]]</f>
        <v>Chapecoense x Cruzeiro</v>
      </c>
      <c r="B7" t="str">
        <f>Bruno[[#This Row],[Placar Final]]</f>
        <v>0x0</v>
      </c>
      <c r="C7" t="s">
        <v>49</v>
      </c>
      <c r="D7">
        <v>1</v>
      </c>
      <c r="E7" t="s">
        <v>39</v>
      </c>
    </row>
    <row r="8" spans="1:5" x14ac:dyDescent="0.3">
      <c r="A8" t="str">
        <f>Bruno[[#This Row],[Jogos]]</f>
        <v>Internacional x Corinthians</v>
      </c>
      <c r="B8" t="str">
        <f>Bruno[[#This Row],[Placar Final]]</f>
        <v>2x0 (Matheus Bahia e Alan Patrick)</v>
      </c>
      <c r="C8" t="s">
        <v>50</v>
      </c>
      <c r="D8">
        <v>4</v>
      </c>
      <c r="E8" t="s">
        <v>61</v>
      </c>
    </row>
    <row r="9" spans="1:5" x14ac:dyDescent="0.3">
      <c r="A9" t="str">
        <f>Bruno[[#This Row],[Jogos]]</f>
        <v>Athletico x Vitória</v>
      </c>
      <c r="B9" t="str">
        <f>Bruno[[#This Row],[Placar Final]]</f>
        <v>2x0 (João Cruz e Dudu)</v>
      </c>
      <c r="C9" t="s">
        <v>63</v>
      </c>
      <c r="D9">
        <v>3</v>
      </c>
      <c r="E9" t="s">
        <v>66</v>
      </c>
    </row>
    <row r="10" spans="1:5" x14ac:dyDescent="0.3">
      <c r="A10" t="str">
        <f>Bruno[[#This Row],[Jogos]]</f>
        <v>Juventude x Atlético-MG</v>
      </c>
      <c r="B10" t="str">
        <f>Bruno[[#This Row],[Placar Final]]</f>
        <v>0x1 (Alan Minda)</v>
      </c>
      <c r="C10" t="s">
        <v>69</v>
      </c>
      <c r="D10">
        <v>0</v>
      </c>
      <c r="E10" t="s">
        <v>1</v>
      </c>
    </row>
    <row r="11" spans="1:5" x14ac:dyDescent="0.3">
      <c r="A11" t="str">
        <f>Bruno[[#This Row],[Jogos]]</f>
        <v>Remo x Santos</v>
      </c>
      <c r="B11" t="str">
        <f>Bruno[[#This Row],[Placar Final]]</f>
        <v>0x1 (Rony)</v>
      </c>
      <c r="C11" t="s">
        <v>70</v>
      </c>
      <c r="D11">
        <v>1</v>
      </c>
      <c r="E11" t="s">
        <v>39</v>
      </c>
    </row>
    <row r="12" spans="1:5" x14ac:dyDescent="0.3">
      <c r="A12" t="str">
        <f>Bruno[[#This Row],[Jogos]]</f>
        <v>Cruzeiro x Chapecoense</v>
      </c>
      <c r="B12" t="str">
        <f>Bruno[[#This Row],[Placar Final]]</f>
        <v>2x0 (Matheus Henrique e Kaio Jorge)</v>
      </c>
      <c r="C12" s="9" t="s">
        <v>77</v>
      </c>
      <c r="D12">
        <v>9</v>
      </c>
      <c r="E12" t="s">
        <v>81</v>
      </c>
    </row>
    <row r="13" spans="1:5" x14ac:dyDescent="0.3">
      <c r="A13" t="str">
        <f>Bruno[[#This Row],[Jogos]]</f>
        <v>Grêmio x Mirassol</v>
      </c>
      <c r="B13" t="str">
        <f>Bruno[[#This Row],[Placar Final]]</f>
        <v>1x0 (Pavón)</v>
      </c>
      <c r="C13" s="9" t="s">
        <v>76</v>
      </c>
      <c r="D13">
        <v>8</v>
      </c>
      <c r="E13" t="s">
        <v>59</v>
      </c>
    </row>
    <row r="14" spans="1:5" x14ac:dyDescent="0.3">
      <c r="A14" t="str">
        <f>Bruno[[#This Row],[Jogos]]</f>
        <v>Fluminense x Vasco</v>
      </c>
      <c r="B14" t="str">
        <f>Bruno[[#This Row],[Placar Final]]</f>
        <v>1x3 (Martinelli; Brenner 2x e Puma Rodriguez)</v>
      </c>
      <c r="C14" t="s">
        <v>87</v>
      </c>
      <c r="D14">
        <v>1</v>
      </c>
      <c r="E14" t="s">
        <v>39</v>
      </c>
    </row>
    <row r="15" spans="1:5" x14ac:dyDescent="0.3">
      <c r="A15" t="str">
        <f>Bruno[[#This Row],[Jogos]]</f>
        <v>Fortaleza x Palmeiras</v>
      </c>
      <c r="B15" t="str">
        <f>Bruno[[#This Row],[Placar Final]]</f>
        <v>3x2 (Miritello, Rodriguinho e Lucas Emanoel; Flaco López e Murilo)</v>
      </c>
      <c r="C15" t="s">
        <v>37</v>
      </c>
      <c r="D15">
        <v>0</v>
      </c>
      <c r="E15" t="s">
        <v>1</v>
      </c>
    </row>
    <row r="16" spans="1:5" x14ac:dyDescent="0.3">
      <c r="A16" t="str">
        <f>Bruno[[#This Row],[Jogos]]</f>
        <v>Vitória x Athletico</v>
      </c>
      <c r="B16" t="str">
        <f>Bruno[[#This Row],[Placar Final]]</f>
        <v>4x0 (Renê 2x, Erick e Marinho)</v>
      </c>
      <c r="C16" t="s">
        <v>95</v>
      </c>
      <c r="D16">
        <v>3</v>
      </c>
      <c r="E16" t="s">
        <v>66</v>
      </c>
    </row>
    <row r="17" spans="1:5" x14ac:dyDescent="0.3">
      <c r="A17" t="str">
        <f>Bruno[[#This Row],[Jogos]]</f>
        <v>Corinthians x Internacional</v>
      </c>
      <c r="B17" t="str">
        <f>Bruno[[#This Row],[Placar Final]]</f>
        <v>2x1 (Gustavo Henrique e Pedro Raul; Bernabei)</v>
      </c>
      <c r="C17" s="9" t="s">
        <v>96</v>
      </c>
      <c r="D17">
        <v>12</v>
      </c>
      <c r="E17" t="s">
        <v>108</v>
      </c>
    </row>
    <row r="18" spans="1:5" x14ac:dyDescent="0.3">
      <c r="A18" t="str">
        <f>Bruno[[#This Row],[Jogos]]</f>
        <v>Sorteio das Quartas de Final</v>
      </c>
      <c r="B18" t="str">
        <f>Bruno[[#This Row],[Placar Final]]</f>
        <v>Grêmio x Internacional; Cruzeiro x Atlético-MG; Vasco x Vitória; Palmeiras x Santos</v>
      </c>
      <c r="C18" t="s">
        <v>111</v>
      </c>
      <c r="D18">
        <v>0</v>
      </c>
      <c r="E18" t="s">
        <v>1</v>
      </c>
    </row>
    <row r="19" spans="1:5" x14ac:dyDescent="0.3">
      <c r="A19" t="str">
        <f>Bruno[[#This Row],[Jogos]]</f>
        <v>Cruzeiro x Atlético-MG</v>
      </c>
      <c r="B19" t="str">
        <f>Bruno[[#This Row],[Placar Final]]</f>
        <v>1x1 (Arroyo; Renan Lodi)</v>
      </c>
      <c r="C19" t="s">
        <v>77</v>
      </c>
      <c r="D19">
        <v>0</v>
      </c>
      <c r="E19" t="s">
        <v>1</v>
      </c>
    </row>
    <row r="20" spans="1:5" x14ac:dyDescent="0.3">
      <c r="A20" t="str">
        <f>Bruno[[#This Row],[Jogos]]</f>
        <v>Palmeiras x Santos</v>
      </c>
      <c r="B20" t="str">
        <f>Bruno[[#This Row],[Placar Final]]</f>
        <v>3x0 (Flaco Lopez 2x e Andreas Pereira)</v>
      </c>
      <c r="C20" s="9" t="s">
        <v>129</v>
      </c>
      <c r="D20">
        <v>8</v>
      </c>
      <c r="E20" t="s">
        <v>59</v>
      </c>
    </row>
    <row r="21" spans="1:5" x14ac:dyDescent="0.3">
      <c r="A21" t="str">
        <f>Bruno[[#This Row],[Jogos]]</f>
        <v>Vasco x Vitória</v>
      </c>
      <c r="B21" t="str">
        <f>Bruno[[#This Row],[Placar Final]]</f>
        <v>1x0 (Andrés Gómez)</v>
      </c>
      <c r="C21" s="9" t="s">
        <v>128</v>
      </c>
      <c r="D21">
        <v>8</v>
      </c>
      <c r="E21" t="s">
        <v>59</v>
      </c>
    </row>
    <row r="22" spans="1:5" x14ac:dyDescent="0.3">
      <c r="A22" t="str">
        <f>Bruno[[#This Row],[Jogos]]</f>
        <v>Internacional x Grêmio</v>
      </c>
      <c r="B22" t="str">
        <f>Bruno[[#This Row],[Placar Final]]</f>
        <v>0x0</v>
      </c>
      <c r="C22" t="s">
        <v>1</v>
      </c>
      <c r="D22">
        <v>0</v>
      </c>
      <c r="E22" t="s">
        <v>1</v>
      </c>
    </row>
    <row r="23" spans="1:5" x14ac:dyDescent="0.3">
      <c r="A23" t="str">
        <f>Bruno[[#This Row],[Jogos]]</f>
        <v>Atlético-MG x Cruzeiro</v>
      </c>
      <c r="B23" t="str">
        <f>Bruno[[#This Row],[Placar Final]]</f>
        <v>2x1 (Victor Hugo e Fred; Kaio Jorge)</v>
      </c>
      <c r="C23" t="s">
        <v>141</v>
      </c>
      <c r="D23">
        <v>0</v>
      </c>
      <c r="E23" t="s">
        <v>1</v>
      </c>
    </row>
    <row r="24" spans="1:5" x14ac:dyDescent="0.3">
      <c r="A24" t="str">
        <f>Bruno[[#This Row],[Jogos]]</f>
        <v>Santos x Palmeiras</v>
      </c>
      <c r="B24" t="str">
        <f>Bruno[[#This Row],[Placar Final]]</f>
        <v>0x0</v>
      </c>
      <c r="C24" t="s">
        <v>142</v>
      </c>
      <c r="D24">
        <v>0</v>
      </c>
      <c r="E24" t="s">
        <v>1</v>
      </c>
    </row>
    <row r="25" spans="1:5" x14ac:dyDescent="0.3">
      <c r="A25" t="str">
        <f>Bruno[[#This Row],[Jogos]]</f>
        <v>Vitória x Vasco</v>
      </c>
      <c r="B25" t="str">
        <f>Bruno[[#This Row],[Placar Final]]</f>
        <v>0x2 (Andrés Gómez e Puma Rodriguez)</v>
      </c>
      <c r="C25" t="s">
        <v>143</v>
      </c>
      <c r="D25">
        <v>0</v>
      </c>
      <c r="E25" t="s">
        <v>1</v>
      </c>
    </row>
    <row r="26" spans="1:5" x14ac:dyDescent="0.3">
      <c r="A26" t="str">
        <f>Bruno[[#This Row],[Jogos]]</f>
        <v>Grêmio x Internacional</v>
      </c>
      <c r="B26" t="str">
        <f>Bruno[[#This Row],[Placar Final]]</f>
        <v>3x1 (Carlos Vinicius 2x e Krovinović; Vitinho)</v>
      </c>
      <c r="C26" t="s">
        <v>1</v>
      </c>
      <c r="D26">
        <v>0</v>
      </c>
      <c r="E26" t="s">
        <v>1</v>
      </c>
    </row>
    <row r="27" spans="1:5" x14ac:dyDescent="0.3">
      <c r="A27" t="str">
        <f>Bruno[[#This Row],[Jogos]]</f>
        <v>Vasco x Palmeiras</v>
      </c>
      <c r="B27" t="str">
        <f>Bruno[[#This Row],[Placar Final]]</f>
        <v xml:space="preserve">01/11 - </v>
      </c>
      <c r="C27" t="s">
        <v>1</v>
      </c>
      <c r="D27">
        <v>0</v>
      </c>
      <c r="E27" t="s">
        <v>1</v>
      </c>
    </row>
    <row r="28" spans="1:5" x14ac:dyDescent="0.3">
      <c r="A28" t="str">
        <f>Bruno[[#This Row],[Jogos]]</f>
        <v>Grêmio x Atlético-MG</v>
      </c>
      <c r="B28" t="str">
        <f>Bruno[[#This Row],[Placar Final]]</f>
        <v xml:space="preserve">01/11 - </v>
      </c>
      <c r="C28" t="s">
        <v>1</v>
      </c>
      <c r="D28">
        <v>0</v>
      </c>
      <c r="E28" t="s">
        <v>1</v>
      </c>
    </row>
    <row r="29" spans="1:5" x14ac:dyDescent="0.3">
      <c r="A29" t="str">
        <f>Bruno[[#This Row],[Jogos]]</f>
        <v>Palmeiras x Vasco</v>
      </c>
      <c r="B29" t="str">
        <f>Bruno[[#This Row],[Placar Final]]</f>
        <v xml:space="preserve">08/11 - </v>
      </c>
      <c r="C29" t="s">
        <v>1</v>
      </c>
      <c r="D29">
        <v>0</v>
      </c>
      <c r="E29" t="s">
        <v>1</v>
      </c>
    </row>
    <row r="30" spans="1:5" x14ac:dyDescent="0.3">
      <c r="A30" t="str">
        <f>Bruno[[#This Row],[Jogos]]</f>
        <v>Atlético-MG x Grêmio</v>
      </c>
      <c r="B30" t="str">
        <f>Bruno[[#This Row],[Placar Final]]</f>
        <v xml:space="preserve">08/11 - </v>
      </c>
      <c r="C30" t="s">
        <v>1</v>
      </c>
      <c r="D30">
        <v>0</v>
      </c>
      <c r="E30" t="s">
        <v>1</v>
      </c>
    </row>
    <row r="31" spans="1:5" x14ac:dyDescent="0.3">
      <c r="A31" t="s">
        <v>2</v>
      </c>
      <c r="D31">
        <f>SUBTOTAL(109,Gabriel[Pontuação])</f>
        <v>62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B4488-2C22-4DB4-8DFC-46083E3E9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</vt:lpstr>
      <vt:lpstr>Bruno</vt:lpstr>
      <vt:lpstr>Davi</vt:lpstr>
      <vt:lpstr>Douglas</vt:lpstr>
      <vt:lpstr>Gabriel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Manoel</dc:creator>
  <cp:lastModifiedBy>Douglas Manoel</cp:lastModifiedBy>
  <dcterms:created xsi:type="dcterms:W3CDTF">2026-06-20T22:09:08Z</dcterms:created>
  <dcterms:modified xsi:type="dcterms:W3CDTF">2026-09-16T12:37:15Z</dcterms:modified>
</cp:coreProperties>
</file>